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-15" yWindow="-15" windowWidth="9600" windowHeight="1285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Process!$A$4:$O$120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Header!$B$176:$N$181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" comment="25.4.12 HDR_NewOrder - шапка для новых Заказов">Header!$B$161:$N$166</definedName>
    <definedName name="HDR_NewPayment" comment="26.9.12  занесение Платежей в SF. Они записываются в файл Payment.csv и загружаются в SF Data Loader'ом">Header!$B$105:$J$110</definedName>
    <definedName name="HDR_NewSN" comment="6.6.12 шапки для занесения новыз SN в SF -- 2PASS">Header!$A$173:$C$173</definedName>
    <definedName name="HDR_P_ADSKlink" comment="14/5/12 новые связи Платежей и Контрактов ADSK">Header!$A$170:$C$170</definedName>
    <definedName name="HDR_PaidBalky" comment="23/1/2003">Header!$B$113:$J$118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We!$A$16:$E$43</definedName>
    <definedName name="TOCmatch" comment="11.7.12 TOCmatch - Оглавление по всем отчетам в базе данных" localSheetId="1">Process!$A$118:$L$121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/>
</workbook>
</file>

<file path=xl/calcChain.xml><?xml version="1.0" encoding="utf-8"?>
<calcChain xmlns="http://schemas.openxmlformats.org/spreadsheetml/2006/main">
  <c r="C94" i="1989" l="1"/>
  <c r="N34" i="1989" l="1"/>
  <c r="H20" i="1988" l="1"/>
  <c r="L177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69" i="763"/>
  <c r="C169" i="763"/>
  <c r="C46" i="1989" l="1"/>
  <c r="F78" i="763" l="1"/>
  <c r="L93" i="1989" l="1"/>
  <c r="F93" i="1989"/>
  <c r="F94" i="1989" l="1"/>
  <c r="K94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62" i="763"/>
  <c r="V1158" i="763"/>
  <c r="U1158" i="763"/>
  <c r="AS218" i="763"/>
  <c r="AR218" i="763"/>
  <c r="AQ218" i="763"/>
  <c r="AP218" i="763"/>
  <c r="AO218" i="763"/>
  <c r="AN218" i="763"/>
  <c r="AM218" i="763"/>
  <c r="AL218" i="763"/>
  <c r="AK218" i="763"/>
  <c r="AJ218" i="763"/>
  <c r="AI218" i="763"/>
  <c r="AH218" i="763"/>
  <c r="AF218" i="763"/>
  <c r="AE218" i="763"/>
  <c r="AD218" i="763"/>
  <c r="AC218" i="763"/>
  <c r="AB218" i="763"/>
  <c r="AA218" i="763"/>
  <c r="Z218" i="763"/>
  <c r="Y218" i="763"/>
  <c r="X218" i="763"/>
  <c r="W218" i="763"/>
  <c r="V218" i="763"/>
  <c r="U218" i="763"/>
  <c r="S218" i="763"/>
  <c r="R218" i="763"/>
  <c r="Q218" i="763"/>
  <c r="P218" i="763"/>
  <c r="O218" i="763"/>
  <c r="N218" i="763"/>
  <c r="M218" i="763"/>
  <c r="L218" i="763"/>
  <c r="K218" i="763"/>
  <c r="J218" i="763"/>
  <c r="I218" i="763"/>
  <c r="H218" i="763"/>
  <c r="F218" i="763"/>
  <c r="E218" i="763"/>
  <c r="D218" i="763"/>
  <c r="C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AT192" i="763"/>
  <c r="AG192" i="763"/>
  <c r="T192" i="763"/>
  <c r="G192" i="763"/>
  <c r="AT191" i="763"/>
  <c r="AG191" i="763"/>
  <c r="T191" i="763"/>
  <c r="G191" i="763"/>
  <c r="AT190" i="763"/>
  <c r="AG190" i="763"/>
  <c r="T190" i="763"/>
  <c r="G190" i="763"/>
  <c r="AT189" i="763"/>
  <c r="AG189" i="763"/>
  <c r="T189" i="763"/>
  <c r="G189" i="763"/>
  <c r="AT188" i="763"/>
  <c r="AG188" i="763"/>
  <c r="T188" i="763"/>
  <c r="G188" i="763"/>
  <c r="AT187" i="763"/>
  <c r="AG187" i="763"/>
  <c r="T187" i="763"/>
  <c r="G187" i="763"/>
  <c r="AT186" i="763"/>
  <c r="AG186" i="763"/>
  <c r="T186" i="763"/>
  <c r="G186" i="763"/>
  <c r="AT185" i="763"/>
  <c r="AG185" i="763"/>
  <c r="T185" i="763"/>
  <c r="G185" i="763"/>
  <c r="I96" i="763"/>
  <c r="I74" i="763"/>
  <c r="F61" i="763"/>
  <c r="F64" i="763" s="1"/>
  <c r="D60" i="763"/>
  <c r="F55" i="763"/>
  <c r="A55" i="763" s="1"/>
  <c r="F54" i="763"/>
  <c r="A54" i="763" s="1"/>
  <c r="D47" i="763"/>
  <c r="C116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8" i="763" s="1"/>
  <c r="J27" i="763"/>
  <c r="C27" i="763"/>
  <c r="I19" i="763"/>
  <c r="G19" i="763"/>
  <c r="F19" i="763"/>
  <c r="F6" i="763"/>
  <c r="C6" i="763"/>
  <c r="L130" i="1989"/>
  <c r="L52" i="1989" s="1"/>
  <c r="C130" i="1989"/>
  <c r="M127" i="1989"/>
  <c r="L127" i="1989"/>
  <c r="K127" i="1989"/>
  <c r="L124" i="1989"/>
  <c r="F112" i="1989"/>
  <c r="K112" i="1989" s="1"/>
  <c r="C112" i="1989"/>
  <c r="N111" i="1989"/>
  <c r="M111" i="1989"/>
  <c r="L111" i="1989"/>
  <c r="C111" i="1989"/>
  <c r="C109" i="1989"/>
  <c r="K108" i="1989"/>
  <c r="K107" i="1989"/>
  <c r="K111" i="1989" s="1"/>
  <c r="K105" i="1989"/>
  <c r="C105" i="1989"/>
  <c r="K104" i="1989"/>
  <c r="C104" i="1989"/>
  <c r="N103" i="1989"/>
  <c r="M103" i="1989"/>
  <c r="L103" i="1989"/>
  <c r="C103" i="1989"/>
  <c r="K102" i="1989"/>
  <c r="K101" i="1989"/>
  <c r="F100" i="1989"/>
  <c r="C100" i="1989"/>
  <c r="F99" i="1989"/>
  <c r="F98" i="1989"/>
  <c r="C98" i="1989"/>
  <c r="H97" i="1989"/>
  <c r="G97" i="1989"/>
  <c r="F97" i="1989"/>
  <c r="K96" i="1989"/>
  <c r="K103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0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185" i="763"/>
  <c r="AU187" i="763"/>
  <c r="AU189" i="763"/>
  <c r="AU191" i="763"/>
  <c r="AU193" i="763"/>
  <c r="AU195" i="763"/>
  <c r="AU197" i="763"/>
  <c r="AU199" i="763"/>
  <c r="AU201" i="763"/>
  <c r="AU203" i="763"/>
  <c r="AU205" i="763"/>
  <c r="AU207" i="763"/>
  <c r="AU209" i="763"/>
  <c r="AU211" i="763"/>
  <c r="AU213" i="763"/>
  <c r="AU215" i="763"/>
  <c r="AU217" i="763"/>
  <c r="AU212" i="763"/>
  <c r="T218" i="763"/>
  <c r="K44" i="1989"/>
  <c r="K46" i="1989" s="1"/>
  <c r="K40" i="1989"/>
  <c r="AG218" i="763"/>
  <c r="AT218" i="763"/>
  <c r="AU186" i="763"/>
  <c r="AU188" i="763"/>
  <c r="AU190" i="763"/>
  <c r="AU192" i="763"/>
  <c r="C32" i="763"/>
  <c r="D27" i="763" s="1"/>
  <c r="AU194" i="763"/>
  <c r="AU196" i="763"/>
  <c r="AU198" i="763"/>
  <c r="AU200" i="763"/>
  <c r="AU202" i="763"/>
  <c r="AU204" i="763"/>
  <c r="AU206" i="763"/>
  <c r="AU208" i="763"/>
  <c r="J32" i="763"/>
  <c r="L31" i="763" s="1"/>
  <c r="G218" i="763"/>
  <c r="AU210" i="763"/>
  <c r="AU214" i="763"/>
  <c r="AU216" i="763"/>
  <c r="A68" i="763"/>
  <c r="J1161" i="763"/>
  <c r="J1162" i="763"/>
  <c r="C1159" i="763"/>
  <c r="J1159" i="763"/>
  <c r="C1160" i="763"/>
  <c r="J1160" i="763"/>
  <c r="C1158" i="763"/>
  <c r="K22" i="1989"/>
  <c r="K41" i="1989"/>
  <c r="K49" i="1989"/>
  <c r="K50" i="1989"/>
  <c r="K23" i="1989"/>
  <c r="K15" i="1989"/>
  <c r="K18" i="1989"/>
  <c r="K52" i="1989"/>
  <c r="K21" i="1989"/>
  <c r="AU218" i="763" l="1"/>
  <c r="D29" i="763"/>
  <c r="L30" i="763"/>
  <c r="L28" i="763"/>
  <c r="L27" i="763"/>
  <c r="L29" i="763"/>
  <c r="C1163" i="763"/>
  <c r="D1159" i="763" s="1"/>
  <c r="D30" i="763"/>
  <c r="J1163" i="763"/>
  <c r="L1162" i="763" s="1"/>
  <c r="D28" i="763"/>
  <c r="D31" i="763"/>
  <c r="D1160" i="763" l="1"/>
  <c r="D1158" i="763"/>
  <c r="D1161" i="763"/>
  <c r="D1162" i="763"/>
  <c r="L1159" i="763"/>
  <c r="L1161" i="763"/>
  <c r="L1160" i="763"/>
  <c r="L1158" i="763"/>
</calcChain>
</file>

<file path=xl/comments1.xml><?xml version="1.0" encoding="utf-8"?>
<comments xmlns="http://schemas.openxmlformats.org/spreadsheetml/2006/main">
  <authors>
    <author>Pavel_Khrapkin</author>
  </authors>
  <commentLis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<sst xmlns="http://schemas.openxmlformats.org/spreadsheetml/2006/main" count="5166" uniqueCount="1722">
  <si>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</si>
  <si>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</si>
  <si>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</si>
  <si>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</si>
  <si>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</si>
  <si>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</si>
  <si>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</si>
  <si>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</si>
  <si>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</si>
  <si>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</si>
  <si>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</si>
  <si>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</si>
  <si>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</si>
  <si>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</si>
  <si>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</si>
  <si>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</si>
  <si>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</si>
  <si>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</si>
  <si>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</si>
  <si>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</si>
  <si>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</si>
  <si>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</si>
  <si>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</si>
  <si>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</si>
  <si>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</si>
  <si>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</si>
  <si>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</si>
  <si>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</si>
  <si>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</si>
  <si>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</si>
  <si>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</si>
  <si>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</si>
  <si>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</si>
  <si>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</si>
  <si>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</si>
  <si>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</si>
  <si>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</si>
  <si>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</si>
  <si>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</si>
  <si>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</si>
  <si>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</si>
  <si>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</si>
  <si>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</si>
  <si>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</si>
  <si>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</si>
  <si>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</si>
  <si>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</si>
  <si>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</si>
  <si>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</si>
  <si>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</si>
  <si>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</si>
  <si>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</si>
  <si>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</si>
  <si>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</si>
  <si>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</si>
  <si>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</si>
  <si>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</si>
  <si>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</si>
  <si>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</si>
  <si>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</si>
  <si>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</si>
  <si>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</si>
  <si>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</si>
  <si>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</si>
  <si>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</si>
  <si>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</si>
  <si>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</si>
  <si>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</si>
  <si>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</si>
  <si>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</si>
  <si>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</si>
  <si>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</si>
  <si>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</si>
  <si>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</si>
  <si>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</si>
  <si>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</si>
  <si>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</si>
  <si>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</si>
  <si>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</si>
  <si>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</si>
  <si>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</si>
  <si>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</si>
  <si>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</si>
  <si>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</si>
  <si>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</si>
  <si>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</si>
  <si>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</si>
  <si>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</si>
  <si>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</si>
  <si>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</si>
  <si>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</si>
  <si>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</si>
  <si>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</si>
  <si>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</si>
  <si>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</si>
  <si>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</si>
  <si>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</si>
  <si>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</si>
  <si>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</si>
  <si>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</si>
  <si>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</si>
  <si>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</si>
  <si>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</si>
  <si>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</si>
  <si>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</si>
  <si>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</si>
  <si>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</si>
  <si>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</si>
  <si>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</si>
  <si>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</si>
  <si>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</si>
  <si>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</si>
  <si>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</si>
  <si>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</si>
  <si>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</si>
  <si>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</si>
  <si>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</si>
  <si>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</si>
  <si>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</si>
  <si>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</si>
  <si>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</si>
  <si>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</si>
  <si>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</si>
  <si>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</si>
  <si>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</si>
  <si>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</si>
  <si>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</si>
  <si>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</si>
  <si>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</si>
  <si>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</si>
  <si>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</si>
  <si>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</si>
  <si>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</si>
  <si>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</si>
  <si>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</si>
  <si>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</si>
  <si>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</si>
  <si>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</si>
  <si>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</si>
  <si>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</si>
  <si>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</si>
  <si>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</si>
  <si>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</si>
  <si>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</si>
  <si>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</si>
  <si>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</si>
  <si>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</si>
  <si>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</si>
  <si>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</si>
  <si>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</si>
  <si>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</si>
  <si>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</si>
  <si>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</si>
  <si>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</si>
  <si>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</si>
  <si>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</si>
  <si>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</si>
  <si>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</si>
  <si>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</si>
  <si>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</si>
  <si>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</si>
  <si>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</si>
  <si>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</si>
  <si>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</si>
  <si>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</si>
  <si>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</si>
  <si>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</si>
  <si>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</si>
  <si>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</si>
  <si>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</si>
  <si>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</si>
  <si>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</si>
  <si>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</si>
  <si>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</si>
  <si>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</si>
  <si>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</si>
  <si>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</si>
  <si>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</si>
  <si>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</si>
  <si>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</si>
  <si>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</si>
  <si>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</si>
  <si>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</si>
  <si>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</si>
  <si>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</si>
  <si>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</si>
  <si>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</si>
  <si>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</si>
  <si>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</si>
  <si>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</si>
  <si>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</si>
  <si>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</si>
  <si>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</si>
  <si>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</si>
  <si>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</si>
  <si>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</si>
  <si>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</si>
  <si>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</si>
  <si>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</si>
  <si>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</si>
  <si>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</si>
  <si>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</si>
  <si>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</si>
  <si>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</si>
  <si>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</si>
  <si>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</si>
  <si>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</si>
  <si>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</si>
  <si>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</si>
  <si>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</si>
  <si>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</si>
  <si>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</si>
  <si>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</si>
  <si>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</si>
  <si>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</si>
  <si>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</si>
  <si>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</si>
  <si>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</si>
  <si>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</si>
  <si>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</si>
  <si>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</si>
  <si>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</si>
  <si>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</si>
  <si>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</si>
  <si>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</si>
  <si>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</si>
  <si>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</si>
  <si>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</si>
  <si>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</si>
  <si>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</si>
  <si>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</si>
  <si>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</si>
  <si>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</si>
  <si>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</si>
  <si>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</si>
  <si>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</si>
  <si>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</si>
  <si>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</si>
  <si>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</si>
  <si>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</si>
  <si>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</si>
  <si>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</si>
  <si>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</si>
  <si>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</si>
  <si>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</si>
  <si>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</si>
  <si>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</si>
  <si>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</si>
  <si>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</si>
  <si>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</si>
  <si>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</si>
  <si>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</si>
  <si>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</si>
  <si>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</si>
  <si>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</si>
  <si>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</si>
  <si>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</si>
  <si>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</si>
  <si>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</si>
  <si>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</si>
  <si>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</si>
  <si>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</si>
  <si>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</si>
  <si>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</si>
  <si>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</si>
  <si>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</si>
  <si>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</si>
  <si>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</si>
  <si>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</si>
  <si>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</si>
  <si>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</si>
  <si>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</si>
  <si>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</si>
  <si>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</si>
  <si>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</si>
  <si>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</si>
  <si>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</si>
  <si>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</si>
  <si>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</si>
  <si>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</si>
  <si>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</si>
  <si>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</si>
  <si>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</si>
  <si>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</si>
  <si>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</si>
  <si>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</si>
  <si>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</si>
  <si>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</si>
  <si>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</si>
  <si>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</si>
  <si>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</si>
  <si>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</si>
  <si>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</si>
  <si>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</si>
  <si>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</si>
  <si>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</si>
  <si>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</si>
  <si>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</si>
  <si>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</si>
  <si>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</si>
  <si>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</si>
  <si>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</si>
  <si>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</si>
  <si>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</si>
  <si>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</si>
  <si>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</si>
  <si>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</si>
  <si>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</si>
  <si>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</si>
  <si>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</si>
  <si>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</si>
  <si>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</si>
  <si>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</si>
  <si>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</si>
  <si>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</si>
  <si>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</si>
  <si>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</si>
  <si>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</si>
  <si>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</si>
  <si>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</si>
  <si>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</si>
  <si>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</si>
  <si>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</si>
  <si>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</si>
  <si>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</si>
  <si>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</si>
  <si>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</si>
  <si>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</si>
  <si>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</si>
  <si>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</si>
  <si>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</si>
  <si>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</si>
  <si>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</si>
  <si>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</si>
  <si>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</si>
  <si>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</si>
  <si>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</si>
  <si>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</si>
  <si>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</si>
  <si>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</si>
  <si>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</si>
  <si>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</si>
  <si>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</si>
  <si>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</si>
  <si>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</si>
  <si>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</si>
  <si>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</si>
  <si>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</si>
  <si>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</si>
  <si>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</si>
  <si>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</si>
  <si>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</si>
  <si>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</si>
  <si>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</si>
  <si>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</si>
  <si>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</si>
  <si>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</si>
  <si>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</si>
  <si>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</si>
  <si>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</si>
  <si>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</si>
  <si>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</si>
  <si>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</si>
  <si>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</si>
  <si>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</si>
  <si>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</si>
  <si>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</si>
  <si>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</si>
  <si>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</si>
  <si>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</si>
  <si>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</si>
  <si>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</si>
  <si>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</si>
  <si>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</si>
  <si>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</si>
  <si>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</si>
  <si>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</si>
  <si>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</si>
  <si>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</si>
  <si>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</si>
  <si>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</si>
  <si>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</si>
  <si>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</si>
  <si>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</si>
  <si>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</si>
  <si>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</si>
  <si>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</si>
  <si>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</si>
  <si>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</si>
  <si>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</si>
  <si>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</si>
  <si>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</si>
  <si>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</si>
  <si>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</si>
  <si>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</si>
  <si>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</si>
  <si>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</si>
  <si>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</si>
  <si>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</si>
  <si>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</si>
  <si>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</si>
  <si>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</si>
  <si>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</si>
  <si>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</si>
  <si>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</si>
  <si>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</si>
  <si>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</si>
  <si>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</si>
  <si>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</si>
  <si>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</si>
  <si>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</si>
  <si>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</si>
  <si>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</si>
  <si>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</si>
  <si>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</si>
  <si>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</si>
  <si>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</si>
  <si>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</si>
  <si>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</si>
  <si>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</si>
  <si>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</si>
  <si>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</si>
  <si>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</si>
  <si>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</si>
  <si>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</si>
  <si>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</si>
  <si>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</si>
  <si>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</si>
  <si>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</si>
  <si>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</si>
  <si>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</si>
  <si>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</si>
  <si>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</si>
  <si>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</si>
  <si>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</si>
  <si>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</si>
  <si>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</si>
  <si>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</si>
  <si>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</si>
  <si>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</si>
  <si>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</si>
  <si>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</si>
  <si>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</si>
  <si>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</si>
  <si>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</si>
  <si>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</si>
  <si>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</si>
  <si>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</si>
  <si>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</si>
  <si>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</si>
  <si>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</si>
  <si>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</si>
  <si>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</si>
  <si>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</si>
  <si>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</si>
  <si>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</si>
  <si>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</si>
  <si>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</si>
  <si>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</si>
  <si>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</si>
  <si>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</si>
  <si>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</si>
  <si>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</si>
  <si>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</si>
  <si>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</si>
  <si>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</si>
  <si>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</si>
  <si>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</si>
  <si>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</si>
  <si>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</si>
  <si>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</si>
  <si>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</si>
  <si>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</si>
  <si>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</si>
  <si>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</si>
  <si>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</si>
  <si>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</si>
  <si>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</si>
  <si>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</si>
  <si>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</si>
  <si>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</si>
  <si>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</si>
  <si>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</si>
  <si>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</si>
  <si>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</si>
  <si>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</si>
  <si>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</si>
  <si>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</si>
  <si>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</si>
  <si>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</si>
  <si>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</si>
  <si>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</si>
  <si>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</si>
  <si>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</si>
  <si>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</si>
  <si>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</si>
  <si>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</si>
  <si>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</si>
  <si>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</si>
  <si>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</si>
  <si>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</si>
  <si>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</si>
  <si>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</si>
  <si>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</si>
  <si>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</si>
  <si>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</si>
  <si>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</si>
  <si>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</si>
  <si>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</si>
  <si>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</si>
  <si>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</si>
  <si>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</si>
  <si>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</si>
  <si>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</si>
  <si>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</si>
  <si>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</si>
  <si>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</si>
  <si>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</si>
  <si>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</si>
  <si>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</si>
  <si>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</si>
  <si>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</si>
  <si>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</si>
  <si>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</si>
  <si>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</si>
  <si>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</si>
  <si>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</si>
  <si>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</si>
  <si>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</si>
  <si>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</si>
  <si>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</si>
  <si>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</si>
  <si>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</si>
  <si>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</si>
  <si>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</si>
  <si>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</si>
  <si>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</si>
  <si>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</si>
  <si>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</si>
  <si>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</si>
  <si>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</si>
  <si>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</si>
  <si>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</si>
  <si>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</si>
  <si>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</si>
  <si>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</si>
  <si>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</si>
  <si>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</si>
  <si>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</si>
  <si>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</si>
  <si>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</si>
  <si>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</si>
  <si>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</si>
  <si>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</si>
  <si>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</si>
  <si>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</si>
  <si>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</si>
  <si>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</si>
  <si>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</si>
  <si>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</si>
  <si>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</si>
  <si>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</si>
  <si>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</si>
  <si>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</si>
  <si>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</si>
  <si>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</si>
  <si>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</si>
  <si>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</si>
  <si>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</si>
  <si>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</si>
  <si>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</si>
  <si>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</si>
  <si>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</si>
  <si>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</si>
  <si>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</si>
  <si>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</si>
  <si>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</si>
  <si>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</si>
  <si>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</si>
  <si>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</si>
  <si>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</si>
  <si>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</si>
  <si>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</si>
  <si>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</si>
  <si>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</si>
  <si>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</si>
  <si>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</si>
  <si>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</si>
  <si>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</si>
  <si>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</si>
  <si>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</si>
  <si>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</si>
  <si>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</si>
  <si>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</si>
  <si>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</si>
  <si>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</si>
  <si>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</si>
  <si>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</si>
  <si>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</si>
  <si>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</si>
  <si>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</si>
  <si>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</si>
  <si>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</si>
  <si>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</si>
  <si>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</si>
  <si>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</si>
  <si>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</si>
  <si>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</si>
  <si>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</si>
  <si>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</si>
  <si>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</si>
  <si>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</si>
  <si>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</si>
  <si>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</si>
  <si>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</si>
  <si>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</si>
  <si>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</si>
  <si>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</si>
  <si>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</si>
  <si>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</si>
  <si>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</si>
  <si>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</si>
  <si>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</si>
  <si>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</si>
  <si>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</si>
  <si>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</si>
  <si>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</si>
  <si>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</si>
  <si>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</si>
  <si>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</si>
  <si>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</si>
  <si>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</si>
  <si>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</si>
  <si>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</si>
  <si>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</si>
  <si>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</si>
  <si>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</si>
  <si>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</si>
  <si>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</si>
  <si>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</si>
  <si>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</si>
  <si>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</si>
  <si>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</si>
  <si>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</si>
  <si>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</si>
  <si>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</si>
  <si>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</si>
  <si>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</si>
  <si>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</si>
  <si>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</si>
  <si>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</si>
  <si>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</si>
  <si>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</si>
  <si>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</si>
  <si>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</si>
  <si>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</si>
  <si>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</si>
  <si>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</si>
  <si>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</si>
  <si>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</si>
  <si>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</si>
  <si>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</si>
  <si>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</si>
  <si>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</si>
  <si>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</si>
  <si>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</si>
  <si>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</si>
  <si>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</si>
  <si>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</si>
  <si>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</si>
  <si>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</si>
  <si>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</si>
  <si>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</si>
  <si>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</si>
  <si>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</si>
  <si>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</si>
  <si>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</si>
  <si>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</si>
  <si>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</si>
  <si>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</si>
  <si>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</si>
  <si>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</si>
  <si>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</si>
  <si>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</si>
  <si>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</si>
  <si>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</si>
  <si>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</si>
  <si>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</si>
  <si>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</si>
  <si>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</si>
  <si>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</si>
  <si>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</si>
  <si>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</si>
  <si>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</si>
  <si>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</si>
  <si>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</si>
  <si>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</si>
  <si>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</si>
  <si>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</si>
  <si>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</si>
  <si>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</si>
  <si>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</si>
  <si>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</si>
  <si>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</si>
  <si>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</si>
  <si>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</si>
  <si>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</si>
  <si>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</si>
  <si>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</si>
  <si>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</si>
  <si>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</si>
  <si>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</si>
  <si>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</si>
  <si>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</si>
  <si>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</si>
  <si>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</si>
  <si>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</si>
  <si>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</si>
  <si>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</si>
  <si>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</si>
  <si>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</si>
  <si>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</si>
  <si>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</si>
  <si>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</si>
  <si>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</si>
  <si>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</si>
  <si>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</si>
  <si>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</si>
  <si>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</si>
  <si>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</si>
  <si>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</si>
  <si>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</si>
  <si>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</si>
  <si>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</si>
  <si>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</si>
  <si>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</si>
  <si>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</si>
  <si>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</si>
  <si>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</si>
  <si>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</si>
  <si>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</si>
  <si>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</si>
  <si>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</si>
  <si>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</si>
  <si>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</si>
  <si>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</si>
  <si>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</si>
  <si>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</si>
  <si>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</si>
  <si>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</si>
  <si>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</si>
  <si>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</si>
  <si>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</si>
  <si>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</si>
  <si>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</si>
  <si>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</si>
  <si>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</si>
  <si>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</si>
  <si>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</si>
  <si>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</si>
  <si>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</si>
  <si>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</si>
  <si>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</si>
  <si>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</si>
  <si>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</si>
  <si>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</si>
  <si>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</si>
  <si>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</si>
  <si>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</si>
  <si>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</si>
  <si>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</si>
  <si>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</si>
  <si>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</si>
  <si>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</si>
  <si>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</si>
  <si>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</si>
  <si>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</si>
  <si>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</si>
  <si>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</si>
  <si>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</si>
  <si>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</si>
  <si>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</si>
  <si>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</si>
  <si>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</si>
  <si>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</si>
  <si>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</si>
  <si>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</si>
  <si>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</si>
  <si>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</si>
  <si>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</si>
  <si>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</si>
  <si>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</si>
  <si>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</si>
  <si>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</si>
  <si>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</si>
  <si>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</si>
  <si>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</si>
  <si>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</si>
  <si>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</si>
  <si>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</si>
  <si>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</si>
  <si>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</si>
  <si>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</si>
  <si>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</si>
  <si>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</si>
  <si>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</si>
  <si>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</si>
  <si>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</si>
  <si>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</si>
  <si>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</si>
  <si>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</si>
  <si>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</si>
  <si>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</si>
  <si>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</si>
  <si>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</si>
  <si>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</si>
  <si>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</si>
  <si>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</si>
  <si>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</si>
  <si>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</si>
  <si>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</si>
  <si>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</si>
  <si>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</si>
  <si>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</si>
  <si>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</si>
  <si>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</si>
  <si>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</si>
  <si>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</si>
  <si>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</si>
  <si>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</si>
  <si>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</si>
  <si>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</si>
  <si>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</si>
  <si>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</si>
  <si>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</si>
  <si>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</si>
  <si>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</si>
  <si>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</si>
  <si>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</si>
  <si>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</si>
  <si>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</si>
  <si>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</si>
  <si>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</si>
  <si>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</si>
  <si>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</si>
  <si>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</si>
  <si>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</si>
  <si>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</si>
  <si>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</si>
  <si>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</si>
  <si>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</si>
  <si>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</si>
  <si>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</si>
  <si>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</si>
  <si>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</si>
  <si>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</si>
  <si>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</si>
  <si>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</si>
  <si>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</si>
  <si>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</si>
  <si>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</si>
  <si>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</si>
  <si>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</si>
  <si>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</si>
  <si>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</si>
  <si>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</si>
  <si>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</si>
  <si>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</si>
  <si>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</si>
  <si>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</si>
  <si>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</si>
  <si>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</si>
  <si>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</si>
  <si>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</si>
  <si>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</si>
  <si>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</si>
  <si>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</si>
  <si>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</si>
  <si>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</si>
  <si>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</si>
  <si>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</si>
  <si>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</si>
  <si>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</si>
  <si>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</si>
  <si>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</si>
  <si>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</si>
  <si>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</si>
  <si>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</si>
  <si>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</si>
  <si>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</si>
  <si>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</si>
  <si>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</si>
  <si>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</si>
  <si>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</si>
  <si>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</si>
  <si>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</si>
  <si>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</si>
  <si>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</si>
  <si>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</si>
  <si>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</si>
  <si>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</si>
  <si>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</si>
  <si>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</si>
  <si>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</si>
  <si>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</si>
  <si>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</si>
  <si>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</si>
  <si>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</si>
  <si>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</si>
  <si>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</si>
  <si>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</si>
  <si>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</si>
  <si>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</si>
  <si>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</si>
  <si>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</si>
  <si>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</si>
  <si>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</si>
  <si>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</si>
  <si>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</si>
  <si>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</si>
  <si>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</si>
  <si>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</si>
  <si>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</si>
  <si>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</si>
  <si>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</si>
  <si>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</si>
  <si>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</si>
  <si>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</si>
  <si>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</si>
  <si>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</si>
  <si>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</si>
  <si>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</si>
  <si>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</si>
  <si>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</si>
  <si>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</si>
  <si>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</si>
  <si>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</si>
  <si>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</si>
  <si>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</si>
  <si>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</si>
  <si>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</si>
  <si>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</si>
  <si>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</si>
  <si>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</si>
  <si>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</si>
  <si>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</si>
  <si>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</si>
  <si>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</si>
  <si>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</si>
  <si>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</si>
  <si>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</si>
  <si>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</si>
  <si>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</si>
  <si>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</si>
  <si>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</si>
  <si>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</si>
  <si>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</si>
  <si>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</si>
  <si>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</si>
  <si>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</si>
  <si>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</si>
  <si>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</si>
  <si>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</si>
  <si>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</si>
  <si>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</si>
  <si>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</si>
  <si>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</si>
  <si>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</si>
  <si>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</si>
  <si>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</si>
  <si>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</si>
  <si>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</si>
  <si>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</si>
  <si>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</si>
  <si>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</si>
  <si>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</si>
  <si>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</si>
  <si>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</si>
  <si>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</si>
  <si>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</si>
  <si>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</si>
  <si>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</si>
  <si>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</si>
  <si>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</si>
  <si>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</si>
  <si>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</si>
  <si>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</si>
  <si>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</si>
  <si>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</si>
  <si>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</si>
  <si>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</si>
  <si>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</si>
  <si>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</si>
  <si>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</si>
  <si>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</si>
  <si>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</si>
  <si>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</si>
  <si>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</si>
  <si>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</si>
  <si>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</si>
  <si>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</si>
  <si>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</si>
  <si>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</si>
  <si>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</si>
  <si>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</si>
  <si>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</si>
  <si>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</si>
  <si>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</si>
  <si>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</si>
  <si>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</si>
  <si>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</si>
  <si>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</si>
  <si>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</si>
  <si>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</si>
  <si>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</si>
  <si>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</si>
  <si>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</si>
  <si>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</si>
  <si>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</si>
  <si>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</si>
  <si>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</si>
  <si>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</si>
  <si>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</si>
  <si>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</si>
  <si>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</si>
  <si>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</si>
  <si>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</si>
  <si>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</si>
  <si>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</si>
  <si>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</si>
  <si>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</si>
  <si>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</si>
  <si>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</si>
  <si>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</si>
  <si>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</si>
  <si>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</si>
  <si>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</si>
  <si>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</si>
  <si>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</si>
  <si>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</si>
  <si>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</si>
  <si>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</si>
  <si>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</si>
  <si>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</si>
  <si>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</si>
  <si>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</si>
  <si>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</si>
  <si>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</si>
  <si>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</si>
  <si>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</si>
  <si>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</si>
  <si>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</si>
  <si>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</si>
  <si>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</si>
  <si>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</si>
  <si>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</si>
  <si>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</si>
  <si>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</si>
  <si>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</si>
  <si>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</si>
  <si>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</si>
  <si>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</si>
  <si>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</si>
  <si>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</si>
  <si>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</si>
  <si>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</si>
  <si>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</si>
  <si>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</si>
  <si>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</si>
  <si>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</si>
  <si>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</si>
  <si>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</si>
  <si>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</si>
  <si>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</si>
  <si>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</si>
  <si>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</si>
  <si>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</si>
  <si>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</si>
  <si>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</si>
  <si>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</si>
  <si>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</si>
  <si>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</si>
  <si>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</si>
  <si>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</si>
  <si>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</si>
  <si>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</si>
  <si>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</si>
  <si>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</si>
  <si>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</si>
  <si>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</si>
  <si>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</si>
  <si>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</si>
  <si>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</si>
  <si>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</si>
  <si>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</si>
  <si>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</si>
  <si>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</si>
  <si>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</si>
  <si>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</si>
  <si>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</si>
  <si>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</si>
  <si>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</si>
  <si>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</si>
  <si>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</si>
  <si>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</si>
  <si>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</si>
  <si>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</si>
  <si>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</si>
  <si>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</si>
  <si>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</si>
  <si>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</si>
  <si>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</si>
  <si>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</si>
  <si>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</si>
  <si>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</si>
  <si>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</si>
  <si>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</si>
  <si>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</si>
  <si>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</si>
  <si>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</si>
  <si>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</si>
  <si>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</si>
  <si>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</si>
  <si>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</si>
  <si>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</si>
  <si>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</si>
  <si>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</si>
  <si>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</si>
  <si>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</si>
  <si>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</si>
  <si>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</si>
  <si>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</si>
  <si>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</si>
  <si>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</si>
  <si>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</si>
  <si>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</si>
  <si>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</si>
  <si>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</si>
  <si>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</si>
  <si>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</si>
  <si>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</si>
  <si>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</si>
  <si>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</si>
  <si>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</si>
  <si>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</si>
  <si>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</si>
  <si>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</si>
  <si>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</si>
  <si>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</si>
  <si>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</si>
  <si>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</si>
  <si>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</si>
  <si>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</si>
  <si>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</si>
  <si>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</si>
  <si>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</si>
  <si>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</si>
  <si>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</si>
  <si>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</si>
  <si>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MoveToMatch: В файл 'SFDC.xlsx' загружен новый отчет 'ADSKfrSF'; EOL=1817 строк, в прежнем 1804</t>
  </si>
  <si>
    <t>MoveToMatch: В файл 'SFDC.xlsx' загружен новый отчет 'ADSKfrSF'; EOL=1828 строк, в прежнем 1817</t>
  </si>
  <si>
    <t>MoveToMatch: В файл 'SFDC.xlsx' загружен новый отчет 'ADSKfrSF'; EOL=1841 строк, в прежнем 1828</t>
  </si>
  <si>
    <t>MoveToMatch: В файл 'SFDC.xlsx' загружен новый отчет 'ADSKfrSF'; EOL=1846 строк, в прежнем 1841</t>
  </si>
  <si>
    <t>MoveToMatch: В файл 'SFDC.xlsx' загружен новый отчет 'ADSKfrSF'; EOL=1846 строк, в прежнем 1846</t>
  </si>
  <si>
    <t>Match:Обновления БТО по подпискам ADSK</t>
  </si>
  <si>
    <t>BTO</t>
  </si>
  <si>
    <t>MoveToMatch: В файл 'SFDC.xlsx' загружен новый отчет 'BTO'; EOL=56 строк, в прежнем 1846</t>
  </si>
  <si>
    <t>NewBTO.txt</t>
  </si>
  <si>
    <t>NewBTO.bat</t>
  </si>
  <si>
    <t>adapt profile: total = 6,90_x000D_
By steps =  0,97 0,88 0,54 0,89 0,01 0,88 0,97 0,75 0,70 0,00 0,00 0,00 0,00 0,00 0,00 0,00 0,00 0,00 0,00 0,00 0,00 0,00 0,00 0,00 0,00 0,00 0,00 0,00 0,00 0,00 0,00 0,00 0,00 0,00 0,00 0,00</t>
  </si>
  <si>
    <t>WrCSV&gt; в 'Orders.txt' записано 76 строк.</t>
  </si>
  <si>
    <t>WrCSV&gt; в 'Orders.txt' записано 69 строк.</t>
  </si>
  <si>
    <t>adapt profile: total = 8,17_x000D_
By steps =  1,05 0,99 0,64 1,01 0,02 1,02 0,99 1,05 0,95 0,00 0,00 0,00 0,00 0,00 0,00 0,00 0,00 0,00 0,00 0,00 0,00 0,00 0,00 0,00 0,00 0,00 0,00 0,00 0,00 0,00 0,00 0,00 0,00 0,00 0,00 0,00</t>
  </si>
  <si>
    <t>MoveToMatch: В файл 'Stock.xlsx' загружен новый отчет 'Заказы'; EOL=1673 строк, в прежнем 1655</t>
  </si>
  <si>
    <t>adapt profile: total = 46,55_x000D_
By steps =  4,65 4,52 4,41 4,56 0,01 4,66 4,52 8,68 10,23 0,00 0,00 0,00 0,00 0,00 0,00 0,00 0,00 0,00 0,00 0,00 0,00 0,00 0,00 0,00 0,00 0,00 0,00 0,00 0,00 0,00 0,00 0,00 0,00 0,00 0,00 0,00</t>
  </si>
  <si>
    <t>&lt;! ERROR !&gt; GetRep.CheckStamp&gt; Не найден Штамп в Документе 'SForders'_x000D_
_x000D_
Этот Документ надо загрузить в match заново или _x000D_
исправить параметры в TOCmatch.</t>
  </si>
  <si>
    <t>MoveToMatch: В файл 'SFDC.xlsx' загружен новый отчет 'SForders'; EOL=749 строк, в прежнем 681</t>
  </si>
  <si>
    <t>adapt profile: total = 7,68_x000D_
By steps =  1,01 1,00 0,77 0,98 0,01 0,99 0,99 0,95 0,88 0,00 0,00 0,00 0,00 0,00 0,00 0,00 0,00 0,00 0,00 0,00 0,00 0,00 0,00 0,00 0,00 0,00 0,00 0,00 0,00 0,00 0,00 0,00 0,00 0,00 0,00 0,00</t>
  </si>
  <si>
    <t>&lt; WARNING &gt; Адаптер&gt; ссылка SFopp/1:11(006D000000OUFbM) не работает, результат &lt;пусто&gt;</t>
  </si>
  <si>
    <t>WrCSV&gt; в 'Orders.txt' записано 3 строк.</t>
  </si>
  <si>
    <t>&lt; WARNING &gt; Адаптер&gt; ссылка SFopp/1:11(006D000000I8L1j) не работает, результат &lt;пусто&gt;</t>
  </si>
  <si>
    <t>WrCSV&gt; в 'Orders.txt' записано 4 строк.</t>
  </si>
  <si>
    <t>MoveToMatch: В файл 'SFDC.xlsx' загружен новый отчет 'ADSKfrSF'; EOL=1870 строк, в прежнем 1846</t>
  </si>
  <si>
    <t>MoveToMatch: В файл 'SFDC.xlsx' загружен новый отчет 'ADSKfrSF'; EOL=1882 строк, в прежнем 1870</t>
  </si>
  <si>
    <t>MoveToMatch: В файл 'SFDC.xlsx' загружен новый отчет 'ADSKfrSF'; EOL=1918 строк, в прежнем 1882</t>
  </si>
  <si>
    <t>MoveToMatch: В файл 'SFDC.xlsx' загружен новый отчет 'ADSKfrSF'; EOL=1951 строк, в прежнем 1918</t>
  </si>
  <si>
    <t>MoveToMatch: В файл 'SFDC.xlsx' загружен новый отчет 'ADSKfrSF'; EOL=1954 строк, в прежнем 1951</t>
  </si>
  <si>
    <t>MoveToMatch: В файл 'SFDC.xlsx' загружен новый отчет 'ADSKfrSF'; EOL=1954 строк, в прежнем 1954</t>
  </si>
  <si>
    <t>MoveToMatch: В файл 'SFDC.xlsx' загружен новый отчет 'ADSKfrSF'; EOL=1953 строк, в прежнем 1954</t>
  </si>
  <si>
    <t>MoveToMatch: В файл '1C.xlsx' загружен новый отчет 'Договоры'; EOL=1305 строк, в прежнем 1304</t>
  </si>
  <si>
    <t>adapt profile: total = 6,64_x000D_
By steps =  1,56 0,79 0,68 0,01 0,00 0,00 0,69 0,01 0,00 0,00 0,00 0,00 0,01 0,00 0,00 0,00 0,00 0,00 0,01 0,00 0,00 0,00 0,00 0,00 0,00 0,02</t>
  </si>
  <si>
    <t>MoveToMatch: В файл '1C.xlsx' загружен новый отчет 'Платежи'; EOL=5682 строк, в прежнем 5671</t>
  </si>
  <si>
    <t>adapt profile: total = 82,80_x000D_
By steps =  6,54 0,04 13,38 6,38 0,04 0,02 0,02 0,00 0,03 0,02 0,01 0,01 0,02 0,01 0,00 0,03 0,02 0,02 0,02 0,01 0,02 0,03 0,01 0,03 0,03 0,02 0,04 0,02 0,02 1,41 5,34 5,19 6,34 6,35 6,09 9,05 8,94</t>
  </si>
  <si>
    <t>MoveToMatch: В файл 'SFDC.xlsx' загружен новый отчет 'ADSKfrSF'; EOL=1954 строк, в прежнем 1953</t>
  </si>
  <si>
    <t>MoveToMatch: В файл 'SFDC.xlsx' загружен новый отчет 'SFopp'; EOL=3391 строк, в прежнем 3372</t>
  </si>
  <si>
    <t>MoveToMatch: В файл 'SFDC.xlsx' загружен новый отчет 'SFopp'; EOL=3391 строк, в прежнем 3391</t>
  </si>
  <si>
    <t>MoveToMatch: В файл 'SFDC.xlsx' загружен новый отчет 'SFD'; EOL=1079 строк, в прежнем 1079</t>
  </si>
  <si>
    <t>adapt profile: total = 4,08_x000D_
By steps =  2,83 0,04</t>
  </si>
  <si>
    <t>adapt profile: total = 7,67_x000D_
By steps =  1,10 3,32 0,77 0,00 0,00 0,00 0,66 0,02 0,00 0,00 0,00 0,00 0,00 0,00 0,00 0,01 0,00 0,01 0,01 0,00 0,01 0,00 0,00 0,00 0,00 0,00</t>
  </si>
  <si>
    <t>MoveToMatch: В файл 'SFDC.xlsx' загружен новый отчет 'SForders'; EOL=751 строк, в прежнем 749</t>
  </si>
  <si>
    <t>MoveToMatch: В файл 'SFDC.xlsx' загружен новый отчет 'SFacc'; EOL=4173 строк, в прежнем 4172</t>
  </si>
  <si>
    <t>adapt profile: total = 124,48_x000D_
By steps =  17,05 0,08 30,90 4,98 0,07 0,03 0,02 0,03 0,01 0,00 0,01 0,01 0,02 0,04 0,02 0,03 0,02 0,03 0,02 0,02 0,02 0,03 0,02 0,02 0,02 0,01 0,03 0,02 0,01 0,93 4,70 4,26 4,29 4,14 4,30 20,88 20,43</t>
  </si>
  <si>
    <t>adapt profile: total = 8,98_x000D_
By steps =  1,40 4,46 0,74 0,00 0,00 0,00 0,64 0,01 0,00 0,01 0,01 0,00 0,00 0,01 0,00 0,00 0,00 0,00 0,00 0,00 0,01 0,00 0,00 0,00 0,01 0,00</t>
  </si>
  <si>
    <t>adapt profile: total = 3,50_x000D_
By steps =  2,23</t>
  </si>
  <si>
    <t>MoveToMatch: В файл 'SFDC.xlsx' загружен новый отчет 'SF'; EOL=4569 строк, в прежнем 4550</t>
  </si>
  <si>
    <t>adapt profile: total = 27,80_x000D_
By steps =  21,89 0,08</t>
  </si>
  <si>
    <t>adapt profile: total = 128,74_x000D_
By steps =  17,93 0,14 31,67 5,14 0,05 0,02 0,02 0,02 0,02 0,03 0,02 0,02 0,03 0,01 0,03 0,01 0,02 0,02 0,02 0,02 0,01 0,01 0,02 0,01 0,02 0,03 0,04 0,01 0,02 1,11 4,70 4,25 4,44 4,60 4,57 21,15 21,34</t>
  </si>
  <si>
    <t>MoveToMatch: В файл 'SFDC.xlsx' загружен новый отчет 'BTO'; EOL=56 строк, в прежнем 56</t>
  </si>
  <si>
    <t>MoveToMatch: В файл 'SFDC.xlsx' загружен новый отчет 'SFcont'; EOL=8350 строк, в прежнем 8373</t>
  </si>
  <si>
    <t>MoveToMatch: В файл 'SFDC.xlsx' загружен новый отчет 'SF_PA'; EOL=193 строк, в прежнем 193</t>
  </si>
  <si>
    <t>adapt profile: total = 124,14_x000D_
By steps =  17,62 0,12 30,42 5,34 0,04 0,02 0,02 0,01 0,02 0,01 0,02 0,01 0,03 0,01 0,01 0,01 0,02 0,03 0,03 0,02 0,03 0,02 0,02 0,02 0,02 0,01 0,02 0,03 0,00 0,96 4,89 4,27 4,53 4,54 4,69 20,46 20,00</t>
  </si>
  <si>
    <t>MoveToMatch: В файл 'Stock.xlsx' загружен новый отчет 'Заказы'; EOL=1673 строк, в прежнем 1673</t>
  </si>
  <si>
    <t>adapt profile: total = 13,66_x000D_
By steps =  1,46 1,38 1,54 1,33 0,00 1,28 1,34 2,02 2,01 0,00 0,00 0,00 0,00 0,00 0,00 0,00 0,00 0,00 0,00 0,00 0,00 0,00 0,00 0,00 0,00 0,00 0,00 0,00 0,00 0,00 0,00 0,00 0,00 0,00 0,00 0,00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</si>
  <si>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</si>
  <si>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</si>
  <si>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</si>
  <si>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</si>
  <si>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</si>
  <si>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</si>
  <si>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</si>
  <si>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</si>
  <si>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</si>
  <si>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SFacc/3:4/W(001D000000yojfh)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</si>
  <si>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</si>
  <si>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</si>
  <si>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</si>
  <si>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</si>
  <si>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</si>
  <si>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WrCSV&gt; в 'Dogovor.txt' записано 3 строк.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</si>
  <si>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</si>
  <si>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</si>
  <si>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</si>
  <si>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</si>
  <si>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</si>
  <si>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</si>
  <si>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</si>
  <si>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</si>
  <si>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</si>
  <si>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</si>
  <si>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</si>
  <si>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</si>
  <si>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</si>
  <si>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</si>
  <si>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</si>
  <si>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</si>
  <si>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</si>
  <si>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</si>
  <si>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</si>
  <si>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</si>
  <si>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</si>
  <si>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</si>
  <si>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</si>
  <si>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</si>
  <si>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</si>
  <si>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</si>
  <si>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</si>
  <si>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</si>
  <si>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</si>
  <si>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</si>
  <si>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</si>
  <si>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</si>
  <si>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</si>
  <si>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</si>
  <si>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</si>
  <si>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</si>
  <si>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</si>
  <si>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</si>
  <si>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</si>
  <si>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</si>
  <si>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</si>
  <si>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</si>
  <si>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</si>
  <si>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</si>
  <si>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</si>
  <si>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</si>
  <si>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</si>
  <si>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</si>
  <si>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</si>
  <si>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</si>
  <si>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</si>
  <si>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</si>
  <si>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</si>
  <si>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</si>
  <si>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</si>
  <si>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</si>
  <si>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</si>
  <si>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</si>
  <si>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</si>
  <si>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</si>
  <si>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</si>
  <si>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</si>
  <si>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</si>
  <si>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</si>
  <si>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</si>
  <si>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</si>
  <si>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</si>
  <si>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</si>
  <si>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</si>
  <si>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</si>
  <si>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</si>
  <si>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</si>
  <si>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</si>
  <si>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</si>
  <si>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</si>
  <si>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</si>
  <si>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</si>
  <si>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</si>
  <si>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</si>
  <si>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</si>
  <si>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</si>
  <si>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</si>
  <si>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</si>
  <si>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</si>
  <si>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</si>
  <si>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</si>
  <si>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</si>
  <si>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</si>
  <si>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</si>
  <si>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</si>
  <si>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</si>
  <si>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</si>
  <si>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</si>
  <si>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</si>
  <si>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</si>
  <si>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</si>
  <si>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</si>
  <si>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</si>
  <si>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</si>
  <si>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</si>
  <si>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</si>
  <si>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</si>
  <si>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</si>
  <si>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</si>
  <si>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</si>
  <si>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</si>
  <si>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SFD/2:18(2012-4-24)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</si>
  <si>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</si>
  <si>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SFD/2:18(2013-1-28)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</si>
  <si>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</si>
  <si>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</si>
  <si>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</si>
  <si>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</si>
  <si>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</si>
  <si>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</si>
  <si>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</si>
  <si>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</si>
  <si>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</si>
  <si>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SFD/2:18(2013-1-62)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</si>
  <si>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</si>
  <si>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</si>
  <si>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SFD/2:18(2013-1-56)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</si>
  <si>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</si>
  <si>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</si>
  <si>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SFD/2:18(2013-1-84) не работает, результат &lt;пусто&gt;</t>
  </si>
  <si>
    <t>&lt; WARNING &gt; Адаптер&gt; ссылка SFD/2:18(2013-1-79) не работает, результат &lt;пусто&gt;</t>
  </si>
  <si>
    <t>&lt; WARNING &gt; Адаптер&gt; ссылка SFD/2:18(2013-2-18) не работает, результат &lt;пусто&gt;</t>
  </si>
  <si>
    <t>&lt; WARNING &gt; Адаптер&gt; ссылка SFD/2:18(2013-2-22) не работает, результат &lt;пусто&gt;</t>
  </si>
  <si>
    <t>WrCSV&gt; в 'Payment.txt' записано 11 строк.</t>
  </si>
  <si>
    <t>WrCSV&gt; в 'Dogovor.txt' записано 5 строк.</t>
  </si>
  <si>
    <t>MoveToMatch: В файл 'SFDC.xlsx' загружен новый отчет 'SFD'; EOL=1083 строк, в прежнем 1079</t>
  </si>
  <si>
    <t>adapt profile: total = 4,66_x000D_
By steps =  4,40 0,00</t>
  </si>
  <si>
    <t>adapt profile: total = 3,78_x000D_
By steps =  0,46 2,31 0,44 0,01 0,00 0,00 0,36 0,00 0,00 0,00 0,00 0,00 0,00 0,00 0,01 0,01 0,00 0,00 0,00 0,00 0,00 0,00 0,00 0,00 0,00 0,00</t>
  </si>
  <si>
    <t>MoveToMatch: В файл 'SFDC.xlsx' загружен новый отчет 'SF'; EOL=4569 строк, в прежнем 4569</t>
  </si>
  <si>
    <t>adapt profile: total = 14,79_x000D_
By steps =  13,66 0,03</t>
  </si>
  <si>
    <t>adapt profile: total = 58,33_x000D_
By steps =  15,41 0,02 12,62 2,88 0,05 0,03 0,01 0,02 0,00 0,01 0,01 0,01 0,02 0,02 0,01 0,01 0,01 0,01 0,02 0,02 0,00 0,02 0,02 0,02 0,02 0,02 0,02 0,01 0,01 0,52 2,79 2,72 3,27 3,36 3,33 5,20 4,27</t>
  </si>
  <si>
    <t>MoveToMatch: В файл 'SFDC.xlsx' загружен новый отчет 'SFD'; EOL=1079 строк, в прежнем 1083</t>
  </si>
  <si>
    <t>adapt profile: total = 4,75_x000D_
By steps =  4,50 0,01</t>
  </si>
  <si>
    <t>adapt profile: total = 4,31_x000D_
By steps =  0,58 2,41 0,41 0,01 0,00 0,01 0,55 0,00 0,01 0,00 0,01 0,01 0,00 0,01 0,01 0,00 0,00 0,00 0,00 0,00 0,01 0,00 0,00 0,00 0,00 0,01</t>
  </si>
  <si>
    <t>adapt profile: total = 18,43_x000D_
By steps =  17,19 0,04</t>
  </si>
  <si>
    <t>adapt profile: total = 49,96_x000D_
By steps =  3,54 0,04 12,52 4,14 0,02 0,02 0,00 0,01 0,00 0,00 0,02 0,01 0,01 0,00 0,02 0,00 0,00 0,01 0,04 0,01 0,01 0,01 0,00 0,00 0,01 0,00 0,01 0,00 0,02 0,53 2,48 3,52 3,45 3,43 3,57 5,54 5,33</t>
  </si>
  <si>
    <t>adapt profile: total = 3,12_x000D_
By steps =  2,93 0,02</t>
  </si>
  <si>
    <t>adapt profile: total = 3,91_x000D_
By steps =  3,58 0,01</t>
  </si>
  <si>
    <t>adapt profile: total = 5,80_x000D_
By steps =  0,69 3,46 0,62 0,00 0,01 0,00 0,40 0,01 0,01 0,00 0,00 0,00 0,00 0,00 0,00 0,00 0,00 0,00 0,01 0,00 0,01 0,00 0,00 0,00 0,00 0,00</t>
  </si>
  <si>
    <t>MoveToMatch: В файл 'SFDC.xlsx' загружен новый отчет 'SFopp'; EOL=3400 строк, в прежнем 3391</t>
  </si>
  <si>
    <t>MoveToMatch: В файл 'SFDC.xlsx' загружен новый отчет 'SF'; EOL=4584 строк, в прежнем 4569</t>
  </si>
  <si>
    <t>adapt profile: total = 10,67_x000D_
By steps =  9,48 0,03</t>
  </si>
  <si>
    <t>adapt profile: total = 68,99_x000D_
By steps =  14,96 0,01 12,98 4,83 0,02 0,02 0,02 0,01 0,02 0,01 0,03 0,02 0,03 0,02 0,02 0,00 0,02 0,02 0,01 0,02 0,02 0,01 0,01 0,02 0,02 0,02 0,01 0,02 0,02 0,77 3,19 3,22 4,16 4,02 4,02 7,42 6,77</t>
  </si>
  <si>
    <t>MoveToMatch: В файл 'SFDC.xlsx' загружен новый отчет 'SFacc'; EOL=4173 строк, в прежнем 4173</t>
  </si>
  <si>
    <t>adapt profile: total = 97,59_x000D_
By steps =  21,16 0,02 24,49 3,11 0,05 0,00 0,01 0,03 0,00 0,02 0,01 0,00 0,02 0,00 0,00 0,00 0,03 0,00 0,00 0,02 0,00 0,01 0,00 0,01 0,00 0,01 0,02 0,01 0,02 0,93 2,91 3,17 3,27 3,47 3,67 14,84 13,75</t>
  </si>
  <si>
    <t>adapt profile: total = 6,10_x000D_
By steps =  0,98 3,36 0,66 0,00 0,00 0,00 0,48 0,00 0,00 0,00 0,00 0,00 0,00 0,00 0,01 0,00 0,00 0,00 0,00 0,00 0,00 0,01 0,01 0,00 0,00 0,00</t>
  </si>
  <si>
    <t>adapt profile: total = 1,46_x000D_
By steps =  1,27</t>
  </si>
  <si>
    <t>MoveToMatch: В файл 'SFDC.xlsx' загружен новый отчет 'SForders'; EOL=763 строк, в прежнем 751</t>
  </si>
  <si>
    <t>adapt profile: total = 2,86_x000D_
By steps =  2,63 0,00</t>
  </si>
  <si>
    <t>adapt profile: total = 11,26_x000D_
By steps =  1,20 1,17 1,48 1,16 0,01 1,10 1,09 1,90 1,60 0,00 0,00 0,00 0,00 0,00 0,00 0,00 0,00 0,00 0,00 0,00 0,00 0,00 0,00 0,00 0,00 0,00 0,00 0,00 0,00 0,00 0,00 0,00 0,00 0,00 0,00 0,00</t>
  </si>
  <si>
    <t>WrCSV&gt; в 'Dogovor.txt' записано 4 строк.</t>
  </si>
  <si>
    <t>WrCSV&gt; в 'Orders.txt' записано 5 строк.</t>
  </si>
  <si>
    <t>MoveToMatch: В файл 'SFDC.xlsx' загружен новый отчет 'SF'; EOL=4587 строк, в прежнем 4584</t>
  </si>
  <si>
    <t>adapt profile: total = 19,51_x000D_
By steps =  18,08 0,03</t>
  </si>
  <si>
    <t>adapt profile: total = 89,75_x000D_
By steps =  17,70 0,03 22,30 2,75 0,02 0,02 0,01 0,01 0,02 0,01 0,02 0,01 0,01 0,01 0,01 0,01 0,01 0,01 0,01 0,01 0,01 0,02 0,01 0,01 0,01 0,02 0,01 0,01 0,01 0,84 3,17 3,01 3,03 2,87 2,96 14,37 14,39</t>
  </si>
  <si>
    <t>MoveToMatch: В файл 'SFDC.xlsx' загружен новый отчет 'SF'; EOL=4588 строк, в прежнем 4587</t>
  </si>
  <si>
    <t>adapt profile: total = 19,45_x000D_
By steps =  18,01 0,03</t>
  </si>
  <si>
    <t>adapt profile: total = 98,40_x000D_
By steps =  18,11 0,03 22,83 3,54 0,03 0,02 0,01 0,01 0,01 0,01 0,01 0,01 0,01 0,01 0,01 0,01 0,01 0,01 0,01 0,01 0,01 0,01 0,01 0,01 0,01 0,00 0,01 0,01 0,01 0,92 3,06 3,84 4,38 4,71 4,57 15,58 14,45</t>
  </si>
  <si>
    <t>MoveToMatch: В файл 'SFDC.xlsx' загружен новый отчет 'SFopp'; EOL=3401 строк, в прежнем 3400</t>
  </si>
  <si>
    <t>MoveToMatch: В файл 'SFDC.xlsx' загружен новый отчет 'SFD'; EOL=1082 строк, в прежнем 1079</t>
  </si>
  <si>
    <t>adapt profile: total = 5,64_x000D_
By steps =  5,23 0,01</t>
  </si>
  <si>
    <t>adapt profile: total = 6,16_x000D_
By steps =  0,90 3,53 0,65 0,01 0,00 0,00 0,48 0,00 0,00 0,00 0,00 0,00 0,00 0,00 0,00 0,00 0,00 0,00 0,00 0,00 0,00 0,00 0,00 0,00 0,00 0,00</t>
  </si>
  <si>
    <t>MoveToMatch: В файл 'SFDC.xlsx' загружен новый отчет 'SF'; EOL=4588 строк, в прежнем 4588</t>
  </si>
  <si>
    <t>adapt profile: total = 19,58_x000D_
By steps =  18,14 0,04</t>
  </si>
  <si>
    <t>adapt profile: total = 102,34_x000D_
By steps =  17,20 0,04 22,97 5,05 0,03 0,01 0,01 0,01 0,01 0,01 0,01 0,01 0,01 0,01 0,02 0,01 0,01 0,02 0,02 0,01 0,01 0,01 0,01 0,01 0,01 0,01 0,01 0,01 0,01 0,85 3,08 3,96 4,92 5,02 4,57 16,20 16,05</t>
  </si>
  <si>
    <t>WrCSV&gt; в 'Payment.txt' записано 6 строк.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</si>
  <si>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</si>
  <si>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</si>
  <si>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</si>
  <si>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</si>
  <si>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</si>
  <si>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</si>
  <si>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</si>
  <si>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</si>
  <si>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</si>
  <si>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</si>
  <si>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</si>
  <si>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</si>
  <si>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</si>
  <si>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BalkyOppN(Общество с ограниченной ответственностью "Транскомпроект")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</si>
  <si>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</si>
  <si>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</si>
  <si>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</si>
  <si>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</si>
  <si>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</si>
  <si>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adapt profile: total = 3,06_x000D_
By steps =  0,04 0,01 0,01 0,01 0,01 0,02 0,01 0,02 0,00</t>
  </si>
  <si>
    <t>WrCSV&gt; в 'Payment.txt' записано 13 строк.</t>
  </si>
  <si>
    <t>adapt profile: total = 3,05_x000D_
By steps =  0,04 0,02 0,01 0,00 0,02 0,01 0,01 0,02 0,00</t>
  </si>
  <si>
    <t>WrCSV&gt; в 'Payment.txt' записано 8 строк.</t>
  </si>
  <si>
    <t>MoveToMatch: В файл 'SFDC.xlsx' загружен новый отчет 'ADSKfrSF'; EOL=1955 строк, в прежнем 1954</t>
  </si>
  <si>
    <t>adapt profile: total = 18,42_x000D_
By steps =  11,76 0,11</t>
  </si>
  <si>
    <t>adapt profile: total = 59,79_x000D_
By steps =  5,78 0,01 11,40 3,13 0,04 0,02 0,02 0,04 0,01 0,03 0,01 0,02 0,03 0,03 0,03 0,02 0,02 0,02 0,02 0,03 0,00 0,02 0,02 0,02 0,02 0,02 0,02 0,01 0,01 0,68 4,52 3,21 3,01 3,13 3,28 6,54 6,27</t>
  </si>
  <si>
    <t>MoveToMatch: В файл 'SFDC.xlsx' загружен новый отчет 'ADSKfrSF'; EOL=2011 строк, в прежнем 1955</t>
  </si>
  <si>
    <t>MoveToMatch: В файл 'SFDC.xlsx' загружен новый отчет 'ADSKfrSF'; EOL=2059 строк, в прежнем 2011</t>
  </si>
  <si>
    <t>MoveToMatch: В файл 'Stock.xlsx' загружен новый отчет 'Заказы'; EOL=229 строк, в прежнем 1673</t>
  </si>
  <si>
    <t>adapt profile: total = 1,73_x000D_
By steps =  0,26 0,20 0,13 0,20 0,00 0,18 0,21 0,11 0,13 0,00 0,00 0,00 0,00 0,00 0,00 0,00 0,00 0,00 0,00 0,00 0,00 0,00 0,00 0,00 0,00 0,00 0,00 0,00 0,00 0,00 0,00 0,00 0,00 0,00 0,00 0,00</t>
  </si>
  <si>
    <t>MoveToMatch: В файл 'SFDC.xlsx' загружен новый отчет 'SForders'; EOL=771 строк, в прежнем 763</t>
  </si>
  <si>
    <t>adapt profile: total = 1,82_x000D_
By steps =  0,30 0,20 0,14 0,21 0,00 0,21 0,20 0,15 0,15 0,00 0,00 0,00 0,00 0,00 0,00 0,00 0,00 0,00 0,00 0,00 0,00 0,00 0,00 0,00 0,00 0,00 0,00 0,00 0,00 0,00 0,00 0,00 0,00 0,00 0,00 0,00</t>
  </si>
  <si>
    <t>MoveToMatch: В файл 'Stock.xlsx' загружен новый отчет 'Заказы'; EOL=229 строк, в прежнем 229</t>
  </si>
  <si>
    <t>adapt profile: total = 1,96_x000D_
By steps =  0,21 0,25 0,16 0,29 0,00 0,17 0,19 0,20 0,18 0,00 0,00 0,00 0,00 0,00 0,00 0,00 0,00 0,00 0,00 0,00 0,00 0,00 0,00 0,00 0,00 0,00 0,00 0,00 0,00 0,00 0,00 0,00 0,00 0,00 0,00 0,00</t>
  </si>
  <si>
    <t>MoveToMatch: В файл '1C.xlsx' загружен новый отчет 'Договоры'; EOL=1312 строк, в прежнем 1305</t>
  </si>
  <si>
    <t>adapt profile: total = 4,10_x000D_
By steps =  0,93 0,48 0,49 0,00 0,01 0,00 0,52 0,00 0,00 0,00 0,00 0,00 0,01 0,00 0,01 0,00 0,00 0,01 0,01 0,00 0,00 0,00 0,00 0,00 0,01 0,01</t>
  </si>
  <si>
    <t>MoveToMatch: В файл '1C.xlsx' загружен новый отчет 'Платежи'; EOL=5700 строк, в прежнем 5682</t>
  </si>
  <si>
    <t>adapt profile: total = 68,72_x000D_
By steps =  6,25 0,05 12,51 4,49 0,04 0,01 0,02 0,01 0,02 0,01 0,02 0,03 0,04 0,03 0,04 0,02 0,01 0,02 0,00 0,02 0,01 0,03 0,01 0,01 0,04 0,02 0,01 0,02 0,02 0,80 4,57 4,00 4,24 4,00 3,99 6,72 6,34</t>
  </si>
  <si>
    <t>MoveToMatch: В файл 'SFDC.xlsx' загружен новый отчет 'SF'; EOL=4593 строк, в прежнем 4588</t>
  </si>
  <si>
    <t>adapt profile: total = 16,40_x000D_
By steps =  11,03 0,07</t>
  </si>
  <si>
    <t>adapt profile: total = 102,84_x000D_
By steps =  15,82 0,11 19,18 7,32 0,07 0,02 0,02 0,02 0,03 0,03 0,03 0,02 0,03 0,02 0,02 0,02 0,03 0,02 0,01 0,02 0,00 0,02 0,02 0,02 0,03 0,02 0,02 0,05 0,03 0,95 4,86 5,09 6,18 6,51 6,14 10,86 10,89</t>
  </si>
  <si>
    <t>MoveToMatch: В файл 'SFDC.xlsx' загружен новый отчет 'SFD'; EOL=1082 строк, в прежнем 1082</t>
  </si>
  <si>
    <t>adapt profile: total = 3,80_x000D_
By steps =  2,43 0,02</t>
  </si>
  <si>
    <t>adapt profile: total = 6,89_x000D_
By steps =  0,86 3,00 0,75 0,00 0,00 0,00 0,45 0,00 0,00 0,01 0,00 0,00 0,00 0,00 0,01 0,00 0,00 0,00 0,01 0,00 0,01 0,00 0,00 0,01 0,00 0,01</t>
  </si>
  <si>
    <t>MoveToMatch: В файл 'SFDC.xlsx' загружен новый отчет 'SFopp'; EOL=3401 строк, в прежнем 3401</t>
  </si>
  <si>
    <t>MoveToMatch: В файл 'SFDC.xlsx' загружен новый отчет 'SFD'; EOL=1086 строк, в прежнем 1082</t>
  </si>
  <si>
    <t>adapt profile: total = 3,92_x000D_
By steps =  2,48 0,03</t>
  </si>
  <si>
    <t>adapt profile: total = 7,52_x000D_
By steps =  1,05 3,16 0,75 0,01 0,01 0,01 0,54 0,00 0,00 0,00 0,00 0,00 0,00 0,00 0,00 0,01 0,00 0,01 0,00 0,00 0,00 0,00 0,00 0,02 0,00 0,00</t>
  </si>
  <si>
    <t>MoveToMatch: В файл 'SFDC.xlsx' загружен новый отчет 'SFacc'; EOL=4176 строк, в прежнем 4173</t>
  </si>
  <si>
    <t>adapt profile: total = 118,15_x000D_
By steps =  17,98 0,09 29,88 4,05 0,02 0,03 0,02 0,03 0,03 0,01 0,02 0,02 0,03 0,02 0,02 0,02 0,03 0,00 0,03 0,03 0,02 0,03 0,02 0,02 0,01 0,03 0,02 0,03 0,03 0,77 4,59 3,57 3,69 3,50 3,42 19,44 19,55</t>
  </si>
  <si>
    <t>adapt profile: total = 8,76_x000D_
By steps =  1,27 4,38 0,74 0,01 0,00 0,01 0,64 0,02 0,00 0,00 0,00 0,00 0,00 0,00 0,00 0,01 0,00 0,00 0,00 0,00 0,00 0,00 0,01 0,01 0,00 0,01</t>
  </si>
  <si>
    <t>adapt profile: total = 3,30_x000D_
By steps =  1,86</t>
  </si>
  <si>
    <t>WrCSV&gt; в 'Dogovor.txt' записано 2 строк.</t>
  </si>
  <si>
    <t>MoveToMatch: В файл 'SFDC.xlsx' загружен новый отчет 'SFacc'; EOL=4178 строк, в прежнем 4176</t>
  </si>
  <si>
    <t>adapt profile: total = 140,84_x000D_
By steps =  19,14 0,12 31,91 7,05 0,11 0,02 0,01 0,03 0,04 0,03 0,01 0,00 0,01 0,02 0,04 0,02 0,01 0,02 0,01 0,03 0,02 0,00 0,02 0,03 0,02 0,02 0,03 0,03 0,03 1,00 4,80 4,75 5,81 5,61 5,49 23,03 23,66</t>
  </si>
  <si>
    <t>adapt profile: total = 10,29_x000D_
By steps =  1,52 4,89 0,72 0,00 0,00 0,00 0,66 0,00 0,00 0,00 0,00 0,00 0,00 0,00 0,01 0,00 0,01 0,00 0,00 0,00 0,00 0,00 0,01 0,00 0,00 0,00</t>
  </si>
  <si>
    <t>adapt profile: total = 3,96_x000D_
By steps =  2,16</t>
  </si>
  <si>
    <t>MoveToMatch: В файл 'SFDC.xlsx' загружен новый отчет 'SF'; EOL=4596 строк, в прежнем 4593</t>
  </si>
  <si>
    <t>adapt profile: total = 28,34_x000D_
By steps =  21,80 0,10</t>
  </si>
  <si>
    <t>adapt profile: total = 144,09_x000D_
By steps =  20,28 0,09 32,99 6,88 0,05 0,02 0,02 0,05 0,03 0,02 0,02 0,02 0,01 0,03 0,02 0,02 0,01 0,01 0,01 0,02 0,00 0,02 0,02 0,02 0,02 0,01 0,02 0,04 0,01 1,04 5,03 4,77 5,57 5,57 4,79 23,79 24,18</t>
  </si>
  <si>
    <t>ВНИМАНИЕ:Это файл базы данных match! Его не надо загружать.</t>
  </si>
  <si>
    <t>&lt;! ERROR !&gt; GetRep.CheckStamp&gt; Не найден Штамп в Документе 'BTOmails'_x000D_
_x000D_
Этот Документ надо загрузить в match заново или _x000D_
исправить параметры в TOCmatch.</t>
  </si>
  <si>
    <t>ExtPar/4</t>
  </si>
  <si>
    <t>MoveToMatch: В файл 'SFDC.xlsx' загружен новый отчет 'ADSKfrSF'; EOL=2062 строк, в прежнем 2059</t>
  </si>
  <si>
    <t>MoveToMatch: В файл 'SFDC.xlsx' загружен новый отчет 'ADSKfrSF'; EOL=2062 строк, в прежнем 2062</t>
  </si>
  <si>
    <t>MoveToMatch: В файл '1C.xlsx' загружен новый отчет 'Платежи'; EOL=5716 строк, в прежнем 5700</t>
  </si>
  <si>
    <t>adapt profile: total = 60,02_x000D_
By steps =  5,91 0,04 11,60 2,91 0,02 0,02 0,04 0,02 0,02 0,03 0,02 0,02 0,02 0,03 0,02 0,03 0,01 0,02 0,02 0,00 0,01 0,02 0,03 0,02 0,01 0,02 0,02 0,02 0,04 0,83 4,52 3,51 3,49 2,86 3,29 7,05 6,50</t>
  </si>
  <si>
    <t>MoveToMatch: В файл '1C.xlsx' загружен новый отчет 'Договоры'; EOL=1316 строк, в прежнем 1312</t>
  </si>
  <si>
    <t>adapt profile: total = 3,80_x000D_
By steps =  0,77 0,52 0,53 0,01 0,00 0,00 0,51 0,01 0,00 0,01 0,00 0,01 0,01 0,01 0,02 0,01 0,00 0,00 0,02 0,00 0,02 0,00 0,00 0,00 0,00 0,00</t>
  </si>
  <si>
    <t>MoveToMatch: В файл 'SFDC.xlsx' загружен новый отчет 'SFopp'; EOL=3410 строк, в прежнем 3401</t>
  </si>
  <si>
    <t>MoveToMatch: В файл 'SFDC.xlsx' загружен новый отчет 'SFD'; EOL=1088 строк, в прежнем 1086</t>
  </si>
  <si>
    <t>adapt profile: total = 3,88_x000D_
By steps =  2,54 0,03</t>
  </si>
  <si>
    <t>adapt profile: total = 6,97_x000D_
By steps =  0,87 3,20 0,78 0,00 0,00 0,01 0,47 0,01 0,00 0,00 0,02 0,00 0,01 0,01 0,01 0,00 0,01 0,00 0,00 0,01 0,00 0,01 0,00 0,01 0,02 0,00</t>
  </si>
  <si>
    <t>MoveToMatch: В файл 'SFDC.xlsx' загружен новый отчет 'SF'; EOL=4600 строк, в прежнем 4596</t>
  </si>
  <si>
    <t>adapt profile: total = 16,28_x000D_
By steps =  11,30 0,13</t>
  </si>
  <si>
    <t>adapt profile: total = 74,80_x000D_
By steps =  14,83 0,13 17,27 3,73 0,03 0,02 0,02 0,03 0,02 0,02 0,02 0,05 0,00 0,04 0,03 0,01 0,02 0,02 0,05 0,05 0,02 0,01 0,03 0,04 0,01 0,05 0,01 0,02 0,03 0,66 4,40 3,37 3,55 3,32 3,10 7,16 6,61</t>
  </si>
  <si>
    <t>MoveToMatch: В файл 'SFDC.xlsx' загружен новый отчет 'SFacc'; EOL=4178 строк, в прежнем 4178</t>
  </si>
  <si>
    <t>adapt profile: total = 116,41_x000D_
By steps =  16,40 0,13 29,92 4,34 0,05 0,02 0,02 0,01 0,02 0,02 0,03 0,01 0,02 0,02 0,02 0,03 0,02 0,04 0,04 0,01 0,02 0,03 0,02 0,02 0,01 0,02 0,02 0,02 0,01 0,73 4,30 3,98 3,60 3,70 3,91 19,55 19,52</t>
  </si>
  <si>
    <t>adapt profile: total = 8,56_x000D_
By steps =  1,34 4,38 0,75 0,01 0,00 0,00 0,54 0,01 0,00 0,00 0,01 0,00 0,00 0,00 0,00 0,01 0,01 0,00 0,00 0,00 0,00 0,01 0,01 0,01 0,00 0,00</t>
  </si>
  <si>
    <t>adapt profile: total = 3,09_x000D_
By steps =  1,98</t>
  </si>
  <si>
    <t>adapt profile: total = 4,09_x000D_
By steps =  2,85 0,01</t>
  </si>
  <si>
    <t>adapt profile: total = 1,82_x000D_
By steps =  0,28 0,19 0,20 0,11 0,00 0,23 0,13 0,17 0,20 0,00 0,00 0,00 0,00 0,00 0,00 0,00 0,00 0,00 0,00 0,00 0,00 0,00 0,00 0,00 0,00 0,00 0,00 0,00 0,00 0,00 0,00 0,00 0,00 0,00 0,00 0,00</t>
  </si>
  <si>
    <t>MoveToMatch: В файл 'SFDC.xlsx' загружен новый отчет 'SFD'; EOL=1092 строк, в прежнем 1088</t>
  </si>
  <si>
    <t>adapt profile: total = 5,21_x000D_
By steps =  3,81 0,02</t>
  </si>
  <si>
    <t>adapt profile: total = 13,09_x000D_
By steps =  1,77 6,55 1,10 0,00 0,00 0,02 0,82 0,00 0,00 0,01 0,01 0,00 0,00 0,01 0,00 0,00 0,01 0,01 0,00 0,01 0,01 0,00 0,01 0,01 0,00 0,00</t>
  </si>
  <si>
    <t>MoveToMatch: В файл 'SFDC.xlsx' загружен новый отчет 'SFopp'; EOL=3413 строк, в прежнем 3410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</si>
  <si>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</si>
  <si>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</si>
  <si>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</si>
  <si>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WrCSV&gt; в 'Payment.txt' записано 17 строк.</t>
  </si>
  <si>
    <t>MoveToMatch: В файл 'SFDC.xlsx' загружен новый отчет 'SF'; EOL=4602 строк, в прежнем 4600</t>
  </si>
  <si>
    <t>adapt profile: total = 33,47_x000D_
By steps =  28,34 0,15</t>
  </si>
  <si>
    <t>adapt profile: total = 116,46_x000D_
By steps =  9,55 0,03 28,69 4,24 0,05 0,05 0,02 0,00 0,02 0,02 0,04 0,02 0,02 0,02 0,03 0,02 0,05 0,04 0,03 0,02 0,02 0,02 0,00 0,01 0,02 0,02 0,02 0,02 0,00 1,07 5,02 4,07 4,21 4,48 4,17 21,52 22,22</t>
  </si>
  <si>
    <t>&lt; WARNING &gt; Адаптер BalkyOppN(ОАО "Завод "Марс") не получил данных</t>
  </si>
  <si>
    <t>adapt profile: total = 7,09_x000D_
By steps =  0,02 0,03 0,01 0,01 0,02 0,02 0,00 0,09 0,00</t>
  </si>
  <si>
    <t>WrCSV&gt; в 'Payment.txt' записано 35 строк.</t>
  </si>
  <si>
    <t>adapt profile: total = 7,10_x000D_
By steps =  0,05 0,03 0,01 0,02 0,03 0,01 0,03 0,09 0,01</t>
  </si>
  <si>
    <t>WrCSV&gt; в 'Payment.txt' записано 19 строк.</t>
  </si>
  <si>
    <t>MoveToMatch: В файл 'SFDC.xlsx' загружен новый отчет 'SF'; EOL=4614 строк, в прежнем 4602</t>
  </si>
  <si>
    <t>adapt profile: total = 28,64_x000D_
By steps =  23,81 0,07</t>
  </si>
  <si>
    <t>adapt profile: total = 130,88_x000D_
By steps =  20,58 0,15 33,27 4,43 0,06 0,03 0,02 0,04 0,02 0,01 0,02 0,03 0,02 0,02 0,01 0,01 0,03 0,02 0,03 0,03 0,01 0,02 0,02 0,02 0,01 0,02 0,01 0,03 0,03 1,10 4,71 4,29 3,91 3,84 4,27 20,93 22,12</t>
  </si>
  <si>
    <t>WrCSV&gt; в 'Payment.txt' записано 14 строк.</t>
  </si>
  <si>
    <t>MoveToMatch: В файл 'SFDC.xlsx' загружен новый отчет 'SF'; EOL=4624 строк, в прежнем 4614</t>
  </si>
  <si>
    <t>adapt profile: total = 33,25_x000D_
By steps =  26,95 0,11</t>
  </si>
  <si>
    <t>adapt profile: total = 136,00_x000D_
By steps =  23,16 0,14 34,77 4,20 0,03 0,00 0,02 0,01 0,01 0,03 0,01 0,03 0,05 0,04 0,02 0,02 0,05 0,02 0,02 0,05 0,02 0,03 0,01 0,02 0,02 0,00 0,02 0,00 0,04 0,93 4,83 4,11 4,05 3,94 3,98 21,43 22,43</t>
  </si>
  <si>
    <t>MoveToMatch: В файл 'SFDC.xlsx' загружен новый отчет 'SF'; EOL=4623 строк, в прежнем 4624</t>
  </si>
  <si>
    <t>adapt profile: total = 15,77_x000D_
By steps =  11,04 0,06</t>
  </si>
  <si>
    <t>adapt profile: total = 94,73_x000D_
By steps =  15,13 0,11 17,52 6,72 0,08 0,03 0,01 0,02 0,04 0,02 0,02 0,01 0,01 0,03 0,02 0,03 0,02 0,02 0,01 0,01 0,02 0,02 0,03 0,04 0,02 0,03 0,01 0,04 0,02 1,02 4,66 4,64 5,95 5,96 5,61 10,06 10,40</t>
  </si>
  <si>
    <t>MoveToMatch: В файл '1C.xlsx' загружен новый отчет 'Договоры'; EOL=1317 строк, в прежнем 1316</t>
  </si>
  <si>
    <t>adapt profile: total = 3,62_x000D_
By steps =  0,81 0,61 0,48 0,01 0,00 0,00 0,44 0,02 0,00 0,00 0,00 0,01 0,00 0,00 0,00 0,00 0,00 0,01 0,01 0,00 0,00 0,00 0,01 0,02 0,00 0,01</t>
  </si>
  <si>
    <t>MoveToMatch: В файл '1C.xlsx' загружен новый отчет 'Платежи'; EOL=5725 строк, в прежнем 5716</t>
  </si>
  <si>
    <t>adapt profile: total = 56,88_x000D_
By steps =  5,41 0,02 10,56 3,30 0,02 0,01 0,04 0,03 0,00 0,02 0,01 0,03 0,03 0,02 0,02 0,03 0,05 0,04 0,02 0,01 0,02 0,01 0,02 0,01 0,01 0,00 0,05 0,02 0,02 0,76 4,48 3,53 3,40 3,16 3,50 6,41 6,24</t>
  </si>
  <si>
    <t>adapt profile: total = 14,26_x000D_
By steps =  10,61 0,07</t>
  </si>
  <si>
    <t>adapt profile: total = 3,15_x000D_
By steps =  2,42 0,02</t>
  </si>
  <si>
    <t>MoveToMatch: В файл '1C.xlsx' загружен новый отчет 'Договоры'; EOL=1319 строк, в прежнем 1317</t>
  </si>
  <si>
    <t>adapt profile: total = 3,63_x000D_
By steps =  0,91 0,56 0,54 0,00 0,00 0,02 0,45 0,00 0,00 0,00 0,00 0,00 0,00 0,00 0,00 0,00 0,00 0,00 0,00 0,01 0,00 0,00 0,00 0,02 0,00 0,02</t>
  </si>
  <si>
    <t>MoveToMatch: В файл '1C.xlsx' загружен новый отчет 'Платежи'; EOL=5744 строк, в прежнем 5725</t>
  </si>
  <si>
    <t>&lt;! ERROR !&gt; GetRep.CheckStamp&gt; Не найден Штамп в Документе 'SF_PA'_x000D_
_x000D_
Этот Документ надо загрузить в match заново или _x000D_
исправить параметры в TOCmatch.</t>
  </si>
  <si>
    <t>MoveToMatch: В файл 'SFDC.xlsx' загружен новый отчет 'SF_PA'; EOL=191 строк, в прежнем 193</t>
  </si>
  <si>
    <t>MoveToMatch: В файл 'SFDC.xlsx' загружен новый отчет 'SF'; EOL=4625 строк, в прежнем 4623</t>
  </si>
  <si>
    <t>adapt profile: total = 15,34_x000D_
By steps =  10,82 0,09</t>
  </si>
  <si>
    <t>MoveToMatch: В файл 'SFDC.xlsx' загружен новый отчет 'SFD'; EOL=1092 строк, в прежнем 1092</t>
  </si>
  <si>
    <t>&lt;! ERROR !&gt; GetRep.CheckStamp&gt; Не найден Штамп в Документе 'SFacc'_x000D_
_x000D_
Этот Документ надо загрузить в match заново или _x000D_
исправить параметры в TOCmatch.</t>
  </si>
  <si>
    <t>MoveToMatch: В файл 'SFDC.xlsx' загружен новый отчет 'SF_PA'; EOL=191 строк, в прежнем 191</t>
  </si>
  <si>
    <t>MoveToMatch: В файл 'SFDC.xlsx' загружен новый отчет 'SFopp'; EOL=3422 строк, в прежнем 3413</t>
  </si>
  <si>
    <t>MoveToMatch: В файл 'SFDC.xlsx' загружен новый отчет 'SFacc'; EOL=4183 строк, в прежнем 4178</t>
  </si>
  <si>
    <t>&lt;! ERROR !&gt; GetRep.CheckStamp&gt; Не найден Штамп в Документе 'SF'_x000D_
_x000D_
Этот Документ надо загрузить в match заново или _x000D_
исправить параметры в TOCmatch.</t>
  </si>
  <si>
    <t>MoveToMatch: В файл 'SFDC.xlsx' загружен новый отчет 'SF'; EOL=4625 строк, в прежнем 4625</t>
  </si>
  <si>
    <t>adapt profile: total = 25,20_x000D_
By steps =  20,69 0,10</t>
  </si>
  <si>
    <t>MoveToMatch: В файл 'SFDC.xlsx' загружен новый отчет 'SFacc'; EOL=4183 строк, в прежнем 4183</t>
  </si>
  <si>
    <t>adapt profile: total = 103,96_x000D_
By steps =  7,53 0,02 22,93 4,76 0,03 0,02 0,04 0,04 0,02 0,01 0,04 0,02 0,00 0,02 0,03 0,03 0,02 0,02 0,03 0,01 0,01 0,02 0,02 0,02 0,02 0,03 0,02 0,01 0,02 0,91 4,68 4,02 4,57 4,61 4,43 19,66 19,38</t>
  </si>
  <si>
    <t>&lt;! ERROR !&gt; GetRep.CheckStamp&gt; Не найден Штамп в Документе 'SFD'_x000D_
_x000D_
Этот Документ надо загрузить в match заново или _x000D_
исправить параметры в TOCmatch.</t>
  </si>
  <si>
    <t>adapt profile: total = 3,27_x000D_
By steps =  2,13</t>
  </si>
  <si>
    <t>MoveToMatch: В файл 'SFDC.xlsx' загружен новый отчет 'SForders'; EOL=771 строк, в прежнем 771</t>
  </si>
  <si>
    <t>adapt profile: total = 3,68_x000D_
By steps =  2,58 0,01</t>
  </si>
  <si>
    <t>adapt profile: total = 6,62_x000D_
By steps =  0,88 3,09 0,73 0,00 0,00 0,00 0,59 0,00 0,00 0,01 0,02 0,00 0,01 0,00 0,00 0,01 0,00 0,00 0,00 0,00 0,00 0,00 0,02 0,00 0,00 0,00</t>
  </si>
  <si>
    <t>adapt profile: total = 1,68_x000D_
By steps =  0,24 0,20 0,17 0,18 0,00 0,18 0,22 0,17 0,13 0,00 0,00 0,00 0,00 0,00 0,00 0,00 0,00 0,00 0,00 0,00 0,00 0,00 0,00 0,00 0,00 0,00 0,00 0,00 0,00 0,00 0,00 0,00 0,00 0,00 0,00 0,00</t>
  </si>
  <si>
    <t>MoveToMatch: В файл '1C.xlsx' загружен новый отчет 'Договоры'; EOL=1328 строк, в прежнем 1319</t>
  </si>
  <si>
    <t>adapt profile: total = 4,50_x000D_
By steps =  1,22 0,72 0,56 0,02 0,00 0,01 0,50 0,01 0,00 0,00 0,00 0,01 0,00 0,00 0,00 0,00 0,00 0,00 0,00 0,00 0,01 0,00 0,00 0,00 0,01 0,00</t>
  </si>
  <si>
    <t>adapt profile: total = 85,87_x000D_
By steps =  17,11 0,15 19,20 3,98 0,06 0,02 0,04 0,01 0,03 0,02 0,05 0,04 0,03 0,03 0,02 0,02 0,03 0,04 0,02 0,02 0,03 0,02 0,02 0,02 0,02 0,03 0,01 0,04 0,03 1,14 5,06 4,11 3,96 4,12 3,95 7,93 8,05</t>
  </si>
  <si>
    <t>MoveToMatch: В файл '1C.xlsx' загружен новый отчет 'Договоры'; EOL=1328 строк, в прежнем 1328</t>
  </si>
  <si>
    <t>adapt profile: total = 4,30_x000D_
By steps =  1,10 0,65 0,57 0,01 0,00 0,00 0,52 0,00 0,00 0,00 0,01 0,00 0,00 0,00 0,01 0,00 0,00 0,01 0,00 0,00 0,01 0,01 0,00 0,00 0,01 0,00</t>
  </si>
  <si>
    <t>MoveToMatch: В файл '1C.xlsx' загружен новый отчет 'Платежи'; EOL=5766 строк, в прежнем 5744</t>
  </si>
  <si>
    <t>adapt profile: total = 77,16_x000D_
By steps =  6,33 0,03 12,79 6,21 0,09 0,02 0,03 0,02 0,02 0,03 0,04 0,04 0,03 0,02 0,03 0,00 0,01 0,01 0,01 0,04 0,02 0,04 0,01 0,02 0,00 0,02 0,02 0,02 0,03 1,21 5,10 4,75 5,99 6,13 5,58 8,44 8,13</t>
  </si>
  <si>
    <t>MoveToMatch: В файл 'SFDC.xlsx' загружен новый отчет 'SFopp'; EOL=3423 строк, в прежнем 3422</t>
  </si>
  <si>
    <t>adapt profile: total = 16,73_x000D_
By steps =  11,88 0,11</t>
  </si>
  <si>
    <t>WrCSV&gt; в 'Dogovor.txt' записано 10 строк.</t>
  </si>
  <si>
    <t>MoveToMatch: В файл 'SFDC.xlsx' загружен новый отчет 'SFD'; EOL=1101 строк, в прежнем 1092</t>
  </si>
  <si>
    <t>adapt profile: total = 4,08_x000D_
By steps =  3,07 0,02</t>
  </si>
  <si>
    <t>adapt profile: total = 7,65_x000D_
By steps =  1,14 3,34 1,05 0,00 0,01 0,00 0,55 0,02 0,01 0,00 0,01 0,01 0,01 0,00 0,02 0,01 0,00 0,00 0,00 0,00 0,01 0,00 0,00 0,02 0,00 0,00</t>
  </si>
  <si>
    <t>adapt profile: total = 1,77_x000D_
By steps =  0,27 0,21 0,18 0,24 0,01 0,17 0,19 0,13 0,12 0,00 0,00 0,00 0,00 0,00 0,00 0,00 0,00 0,00 0,00 0,00 0,00 0,00 0,00 0,00 0,00 0,00 0,00 0,00 0,00 0,00 0,00 0,00 0,00 0,00 0,00 0,00</t>
  </si>
  <si>
    <t>ВНИМАНИЕ:&lt;&gt; Процесс LOAD_Stock перед выполнением Шага Adapt</t>
  </si>
  <si>
    <t>adapt profile: total = 7,08_x000D_
By steps =  0,09 0,03 0,03 0,02 0,04 0,02 0,07 0,12 0,01</t>
  </si>
  <si>
    <t>WrCSV&gt; в 'Payment.txt' записано 62 строк.</t>
  </si>
  <si>
    <t>adapt profile: total = 6,93_x000D_
By steps =  0,07 0,02 0,05 0,03 0,03 0,01 0,03 0,16 0,02</t>
  </si>
  <si>
    <t>WrCSV&gt; в 'Payment.txt' записано 49 строк.</t>
  </si>
  <si>
    <t>&lt; WARNING &gt; Адаптер&gt; ссылка SFD/2:18(2012-1-184)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</si>
  <si>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</si>
  <si>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</si>
  <si>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SFD/2:18(1/2)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</si>
  <si>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</si>
  <si>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</si>
  <si>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</si>
  <si>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SFD/2:18(2013-1-63) не работает, результат &lt;пусто&gt;</t>
  </si>
  <si>
    <t>WrCSV&gt; в 'Payment.txt' записано 78 строк.</t>
  </si>
  <si>
    <t>MoveToMatch: В файл 'SFDC.xlsx' загружен новый отчет 'SF'; EOL=4690 строк, в прежнем 4481</t>
  </si>
  <si>
    <t>adapt profile: total = 18,19_x000D_
By steps =  13,23 0,09</t>
  </si>
  <si>
    <t>adapt profile: total = 98,21_x000D_
By steps =  17,87 0,14 20,63 5,68 0,05 0,02 0,02 0,02 0,02 0,01 0,03 0,02 0,02 0,02 0,05 0,02 0,03 0,03 0,01 0,01 0,04 0,01 0,01 0,02 0,01 0,02 0,02 0,01 0,02 1,28 5,24 5,08 5,59 5,64 5,59 9,48 9,18</t>
  </si>
  <si>
    <t>MoveToMatch: В файл 'SFDC.xlsx' загружен новый отчет 'SF'; EOL=4650 строк, в прежнем 4690</t>
  </si>
  <si>
    <t>adapt profile: total = 22,35_x000D_
By steps =  16,04 0,11</t>
  </si>
  <si>
    <t>adapt profile: total = 117,75_x000D_
By steps =  20,35 0,14 21,47 7,77 0,09 0,02 0,01 0,01 0,00 0,01 0,05 0,02 0,00 0,02 0,02 0,02 0,01 0,02 0,01 0,02 0,03 0,03 0,00 0,02 0,01 0,00 0,03 0,02 0,04 1,43 5,48 5,88 6,68 7,12 6,42 12,75 13,32</t>
  </si>
  <si>
    <t>MoveToMatch: В файл '1C.xlsx' загружен новый отчет 'Договоры'; EOL=1329 строк, в прежнем 1328</t>
  </si>
  <si>
    <t>adapt profile: total = 4,55_x000D_
By steps =  1,10 0,54 0,52 0,01 0,01 0,00 0,57 0,00 0,00 0,00 0,00 0,01 0,01 0,00 0,00 0,00 0,01 0,00 0,00 0,01 0,00 0,00 0,00 0,00 0,00 0,00</t>
  </si>
  <si>
    <t>MoveToMatch: В файл '1C.xlsx' загружен новый отчет 'Платежи'; EOL=5776 строк, в прежнем 5766</t>
  </si>
  <si>
    <t>adapt profile: total = 72,59_x000D_
By steps =  6,52 0,05 15,92 3,73 0,05 0,04 0,02 0,04 0,01 0,03 0,02 0,00 0,02 0,02 0,03 0,03 0,02 0,02 0,02 0,02 0,01 0,04 0,05 0,02 0,04 0,01 0,03 0,03 0,03 0,92 5,02 3,96 3,70 3,90 3,75 7,68 7,84</t>
  </si>
  <si>
    <t>MoveToMatch: В файл 'SFDC.xlsx' загружен новый отчет 'SF'; EOL=4650 строк, в прежнем 4650</t>
  </si>
  <si>
    <t>adapt profile: total = 17,51_x000D_
By steps =  12,00 0,10</t>
  </si>
  <si>
    <t>adapt profile: total = 88,71_x000D_
By steps =  17,53 0,13 20,06 4,20 0,04 0,03 0,02 0,02 0,02 0,02 0,03 0,04 0,03 0,03 0,03 0,02 0,01 0,03 0,03 0,02 0,02 0,02 0,04 0,01 0,01 0,03 0,01 0,03 0,00 0,84 4,99 3,61 4,15 4,09 4,03 8,22 7,97</t>
  </si>
  <si>
    <t>MoveToMatch: В файл 'SFDC.xlsx' загружен новый отчет 'SFD'; EOL=1101 строк, в прежнем 1101</t>
  </si>
  <si>
    <t>adapt profile: total = 4,20_x000D_
By steps =  2,68 0,02</t>
  </si>
  <si>
    <t>adapt profile: total = 7,77_x000D_
By steps =  1,16 3,35 0,76 0,00 0,00 0,01 0,54 0,00 0,00 0,01 0,00 0,00 0,00 0,01 0,01 0,00 0,00 0,00 0,00 0,01 0,01 0,01 0,00 0,00 0,00 0,00</t>
  </si>
  <si>
    <t>MoveToMatch: В файл 'SFDC.xlsx' загружен новый отчет 'SFopp'; EOL=3423 строк, в прежнем 3423</t>
  </si>
  <si>
    <t>MoveToMatch: В файл 'SFDC.xlsx' загружен новый отчет 'SFacc'; EOL=4241 строк, в прежнем 4183</t>
  </si>
  <si>
    <t>adapt profile: total = 134,39_x000D_
By steps =  22,25 0,15 34,43 4,05 0,04 0,02 0,03 0,02 0,04 0,04 0,02 0,04 0,01 0,03 0,02 0,02 0,04 0,02 0,04 0,02 0,03 0,01 0,03 0,02 0,03 0,01 0,04 0,03 0,01 0,77 4,92 3,53 3,93 3,74 3,80 21,11 22,03</t>
  </si>
  <si>
    <t>adapt profile: total = 10,62_x000D_
By steps =  1,40 5,58 0,87 0,00 0,00 0,00 0,70 0,00 0,00 0,00 0,01 0,00 0,00 0,00 0,01 0,00 0,01 0,00 0,01 0,00 0,01 0,01 0,01 0,00 0,00 0,00</t>
  </si>
  <si>
    <t>adapt profile: total = 4,47_x000D_
By steps =  2,46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</si>
  <si>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</si>
  <si>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</si>
  <si>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WrCSV&gt; в 'Payment.txt' записано 16 строк.</t>
  </si>
  <si>
    <t>MoveToMatch: В файл 'SFDC.xlsx' загружен новый отчет 'SF'; EOL=4654 строк, в прежнем 4650</t>
  </si>
  <si>
    <t>adapt profile: total = 26,11_x000D_
By steps =  21,59 0,05</t>
  </si>
  <si>
    <t>adapt profile: total = 125,01_x000D_
By steps =  18,23 0,16 32,06 4,29 0,05 0,05 0,04 0,01 0,00 0,01 0,03 0,04 0,02 0,01 0,03 0,01 0,02 0,05 0,04 0,01 0,01 0,03 0,02 0,03 0,01 0,02 0,01 0,03 0,01 0,82 4,89 3,93 3,70 4,14 3,87 21,05 21,49</t>
  </si>
  <si>
    <t>MoveToMatch: В файл '1C.xlsx' загружен новый отчет 'Список клиентов 1C'; EOL=1131 строк, в прежнем 1276</t>
  </si>
  <si>
    <t>adapt profile: total = 2,04_x000D_
By steps =  1,56</t>
  </si>
  <si>
    <t>MoveToMatch: В файл 'SFDC.xlsx' загружен новый отчет 'SFacc'; EOL=4241 строк, в прежнем 4241</t>
  </si>
  <si>
    <t>adapt profile: total = 149,41_x000D_
By steps =  21,64 0,13 35,48 7,20 0,05 0,02 0,02 0,02 0,00 0,05 0,02 0,02 0,00 0,03 0,02 0,01 0,05 0,03 0,03 0,02 0,02 0,03 0,01 0,02 0,02 0,02 0,01 0,00 0,03 1,14 4,81 4,90 6,19 6,67 5,82 24,28 24,46</t>
  </si>
  <si>
    <t>adapt profile: total = 9,60_x000D_
By steps =  1,38 4,98 0,85 0,02 0,00 0,01 0,64 0,01 0,00 0,01 0,00 0,00 0,00 0,01 0,00 0,00 0,00 0,01 0,01 0,02 0,02 0,01 0,01 0,01 0,00 0,00</t>
  </si>
  <si>
    <t>adapt profile: total = 2,73_x000D_
By steps =  1,74</t>
  </si>
  <si>
    <t>WrCSV&gt; в 'Payment.txt' записано 12 строк.</t>
  </si>
  <si>
    <t>adapt profile: total = 123,05_x000D_
By steps =  19,55 0,13 31,88 4,02 0,05 0,03 0,02 0,02 0,01 0,03 0,03 0,02 0,04 0,04 0,04 0,01 0,03 0,01 0,05 0,02 0,02 0,03 0,02 0,00 0,02 0,02 0,05 0,03 0,02 1,09 4,70 3,70 3,77 3,60 3,55 20,32 20,41</t>
  </si>
  <si>
    <t>adapt profile: total = 8,98_x000D_
By steps =  1,59 4,48 0,80 0,02 0,00 0,00 0,66 0,01 0,00 0,00 0,00 0,01 0,00 0,01 0,02 0,01 0,00 0,00 0,00 0,00 0,02 0,00 0,00 0,01 0,00 0,01</t>
  </si>
  <si>
    <t>adapt profile: total = 2,81_x000D_
By steps =  1,95</t>
  </si>
  <si>
    <t>MoveToMatch: В файл 'SFDC.xlsx' загружен новый отчет 'SFacc'; EOL=4242 строк, в прежнем 4241</t>
  </si>
  <si>
    <t>adapt profile: total = 127,45_x000D_
By steps =  18,23 0,16 32,33 5,44 0,04 0,00 0,03 0,02 0,02 0,05 0,02 0,00 0,03 0,02 0,02 0,04 0,02 0,01 0,02 0,01 0,03 0,02 0,02 0,02 0,05 0,05 0,02 0,02 0,05 0,86 4,74 4,28 4,94 4,58 4,09 20,84 20,75</t>
  </si>
  <si>
    <t>adapt profile: total = 8,94_x000D_
By steps =  1,26 4,62 0,78 0,02 0,00 0,00 0,60 0,01 0,00 0,01 0,00 0,01 0,01 0,00 0,00 0,01 0,01 0,00 0,00 0,01 0,00 0,00 0,01 0,00 0,01 0,01</t>
  </si>
  <si>
    <t>adapt profile: total = 2,76_x000D_
By steps =  1,80</t>
  </si>
  <si>
    <t>MoveToMatch: В файл 'SFDC.xlsx' загружен новый отчет 'SF'; EOL=4656 строк, в прежнем 4654</t>
  </si>
  <si>
    <t>adapt profile: total = 28,17_x000D_
By steps =  23,75 0,11</t>
  </si>
  <si>
    <t>adapt profile: total = 131,14_x000D_
By steps =  18,72 0,13 33,19 6,03 0,05 0,00 0,02 0,02 0,02 0,02 0,03 0,02 0,01 0,03 0,02 0,01 0,02 0,02 0,02 0,03 0,02 0,02 0,04 0,02 0,03 0,03 0,03 0,04 0,03 0,83 4,64 4,31 5,14 5,25 4,93 21,01 21,27</t>
  </si>
  <si>
    <t>adapt profile: total = 6,98_x000D_
By steps =  0,01 0,02 0,02 0,00 0,00 0,02 0,03 0,03 0,01</t>
  </si>
  <si>
    <t>WrCSV&gt; в 'Payment.txt' записано 21 строк.</t>
  </si>
  <si>
    <t>adapt profile: total = 7,41_x000D_
By steps =  0,08 0,02 0,02 0,01 0,02 0,02 0,01 0,03 0,00</t>
  </si>
  <si>
    <t>WrCSV&gt; в 'Payment.txt' записано 10 строк.</t>
  </si>
  <si>
    <t>MoveToMatch: В файл 'Stock.xlsx' загружен новый отчет 'Заказы'; EOL=272 строк, в прежнем 229</t>
  </si>
  <si>
    <t>adapt profile: total = 4,21_x000D_
By steps =  0,61 0,38 1,00 0,35 0,01 0,41 0,53 0,27 0,29 0,00 0,00 0,00 0,00 0,00 0,00 0,00 0,00 0,00 0,00 0,00 0,00 0,00 0,00 0,00 0,00 0,00 0,00 0,00 0,00 0,00 0,00 0,00 0,00 0,00 0,00 0,00</t>
  </si>
  <si>
    <t>MoveToMatch: В файл 'SFDC.xlsx' загружен новый отчет 'ADSKfrSF'; EOL=2090 строк, в прежнем 2062</t>
  </si>
  <si>
    <t>MoveToMatch: В файл 'SFDC.xlsx' загружен новый отчет 'ADSKfrSF'; EOL=2103 строк, в прежнем 2090</t>
  </si>
  <si>
    <t>C:\Users\Pavel_Khrapkin\Documents\Pavel\match\DBs\</t>
  </si>
  <si>
    <t>MoveToMatch: В файл '1C.xlsx' загружен новый отчет 'Договоры'; EOL=1343 строк, в прежнем 1329</t>
  </si>
  <si>
    <t>MoveToMatch: В файл 'SFDC.xlsx' загружен новый отчет 'SFD'; EOL=1109 строк, в прежнем 1101</t>
  </si>
  <si>
    <t>MoveToMatch: В файл 'SFDC.xlsx' загружен новый отчет 'SFacc'; EOL=4246 строк, в прежнем 4242</t>
  </si>
  <si>
    <t>MoveToMatch: В файл 'SFDC.xlsx' загружен новый отчет 'SF'; EOL=4664 строк, в прежнем 4656</t>
  </si>
  <si>
    <t>adapt profile: total = 27,81_x000D_
By steps =  26,71 0,05</t>
  </si>
  <si>
    <t>MoveToMatch: В файл 'SFDC.xlsx' загружен новый отчет 'SFacc'; EOL=4246 строк, в прежнем 4246</t>
  </si>
  <si>
    <t>adapt profile: total = 875,72_x000D_
By steps =  59,92 0,12 61,82 50,59 0,02 0,02 0,01 0,01 0,00 0,01 0,00 0,00 0,01 0,02 0,02 0,01 0,02 0,02 0,01 0,02 0,02 0,02 0,02 0,02 0,02 0,01 0,03 0,03 0,02 11,91 15,92 76,72 140,21 179,20 150,31 93,20 32,89</t>
  </si>
  <si>
    <t>adapt profile: total = 3,00_x000D_
By steps =  1,02 0,54 0,55 0,00 0,01 0,01 0,44 0,00 0,01 0,00 0,00 0,00 0,00 0,00 0,00 0,00 0,00 0,00 0,00 0,00 0,00 0,00 0,00 0,00 0,00 0,00</t>
  </si>
  <si>
    <t>adapt profile: total = 5,99_x000D_
By steps =  5,78</t>
  </si>
  <si>
    <t>MoveToMatch: В файл '1C.xlsx' загружен новый отчет 'Платежи'; EOL=5855 строк, в прежнем 5776</t>
  </si>
  <si>
    <t>&lt;! ERROR !&gt; Неизвестный тип товара права на программы для эвм aide pdf to dxf converter (11 - 20)/12;</t>
  </si>
  <si>
    <t>&lt;! ERROR !&gt; Неизвестный тип товара батарея литиевая неперезаряжаемая/4;батарея литиевая неперезаряжаемая/а98l-0031-0026/1;</t>
  </si>
  <si>
    <t>adapt profile: total = 132,47_x000D_
By steps =  3,11 0,03 12,37 5,40 0,03 0,03 0,02 0,05 0,00 0,00 0,02 0,00 0,02 0,02 0,02 0,00 0,00 0,00 0,00 0,00 0,02 0,00 0,02 0,02 0,00 0,03 0,00 0,02 0,03 0,78 64,75 5,58 9,73 9,59 8,70 7,18 3,84</t>
  </si>
  <si>
    <t>MoveToMatch: В файл '1C.xlsx' загружен новый отчет 'Договоры'; EOL=1353 строк, в прежнем 1343</t>
  </si>
  <si>
    <t>MoveToMatch: В файл 'SFDC.xlsx' загружен новый отчет 'SFD'; EOL=1117 строк, в прежнем 1109</t>
  </si>
  <si>
    <t>adapt profile: total = 4,58_x000D_
By steps =  4,43 0,01</t>
  </si>
  <si>
    <t>adapt profile: total = 2,16_x000D_
By steps =  0,70 0,41 0,36 0,00 0,00 0,01 0,41 0,00 0,00 0,00 0,00 0,00 0,00 0,00 0,00 0,01 0,00 0,00 0,00 0,01 0,00 0,00 0,00 0,00 0,00 0,01</t>
  </si>
  <si>
    <t>MoveToMatch: В файл 'SFDC.xlsx' загружен новый отчет 'SF'; EOL=4693 строк, в прежнем 4664</t>
  </si>
  <si>
    <t>adapt profile: total = 18,47_x000D_
By steps =  17,50 0,02</t>
  </si>
  <si>
    <t>adapt profile: total = 369,58_x000D_
By steps =  15,01 0,05 11,68 6,23 0,00 0,01 0,00 0,00 0,00 0,01 0,01 0,02 0,01 0,01 0,00 0,00 0,01 0,02 0,01 0,02 0,00 0,01 0,00 0,00 0,01 0,00 0,01 0,02 0,00 0,96 281,90 5,95 10,52 11,67 10,22 8,67 5,30</t>
  </si>
  <si>
    <t>MoveToMatch: В файл '1C.xlsx' загружен новый отчет 'Платежи'; EOL=5884 строк, в прежнем 5855</t>
  </si>
  <si>
    <t>adapt profile: total = 151,87_x000D_
By steps =  3,77 0,05 12,98 5,63 0,02 0,00 0,00 0,01 0,01 0,00 0,01 0,00 0,02 0,00 0,02 0,00 0,00 0,00 0,02 0,01 0,01 0,01 0,00 0,00 0,00 0,02 0,01 0,01 0,01 1,22 73,38 6,08 10,83 11,91 10,34 9,03 5,16</t>
  </si>
  <si>
    <t>MoveToMatch: В файл '1C.xlsx' загружен новый отчет 'Список клиентов 1C'; EOL=283 строк, в прежнем 1131</t>
  </si>
  <si>
    <t>adapt profile: total = 2,47_x000D_
By steps =  2,39</t>
  </si>
  <si>
    <t>adapt profile: total = 18,47_x000D_
By steps =  17,61 0,02</t>
  </si>
  <si>
    <t>MoveToMatch: В файл 'SFDC.xlsx' загружен новый отчет 'SFopp'; EOL=3465 строк, в прежнем 3423</t>
  </si>
  <si>
    <t>MoveToMatch: В файл 'SFDC.xlsx' загружен новый отчет 'SFacc'; EOL=4250 строк, в прежнем 4246</t>
  </si>
  <si>
    <t>adapt profile: total = 1231,84_x000D_
By steps =  19,67 0,09 24,18 4,59 0,03 0,01 0,02 0,02 0,01 0,01 0,02 0,02 0,01 0,05 0,01 0,02 0,00 0,02 0,00 0,01 0,04 0,00 0,01 0,02 0,03 0,02 0,02 0,01 0,04 0,80 1111,46 5,29 9,08 10,45 9,64 19,27 15,27</t>
  </si>
  <si>
    <t>adapt profile: total = 7,06_x000D_
By steps =  1,06 3,90 0,87 0,02 0,00 0,00 0,86 0,01 0,00 0,00 0,00 0,00 0,00 0,00 0,00 0,01 0,00 0,00 0,00 0,00 0,00 0,00 0,00 0,00 0,01 0,00</t>
  </si>
  <si>
    <t>adapt profile: total = 0,31_x000D_
By steps =  0,24</t>
  </si>
  <si>
    <t>adapt profile: total = 2,63_x000D_
By steps =  2,42 0,01</t>
  </si>
  <si>
    <t>adapt profile: total = 1,22_x000D_
By steps =  0,23 0,15 0,06 0,21 0,00 0,15 0,22 0,07 0,10 0,00 0,00 0,00 0,00 0,00 0,00 0,00 0,00 0,00 0,00 0,00 0,00 0,00 0,00 0,00 0,00 0,00 0,00 0,00 0,00 0,00 0,00 0,00 0,00 0,00 0,00 0,00</t>
  </si>
  <si>
    <t>&lt; WARNING &gt; Адаптер&gt; ссылка SFD/2:18(2013-2-9)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</si>
  <si>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</si>
  <si>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</si>
  <si>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</si>
  <si>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</si>
  <si>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</si>
  <si>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</si>
  <si>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</si>
  <si>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</si>
  <si>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</si>
  <si>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</si>
  <si>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</si>
  <si>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</si>
  <si>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</si>
  <si>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</si>
  <si>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</si>
  <si>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</si>
  <si>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</si>
  <si>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SFD/2:18(2013-1-93) не работает, результат &lt;пусто&gt;</t>
  </si>
  <si>
    <t>&lt; WARNING &gt; Адаптер&gt; ссылка SFacc/3:4/W(0012000000X1sph) не работает, результат &lt;пусто&gt;</t>
  </si>
  <si>
    <t>MoveToMatch: В файл 'SFDC.xlsx' загружен новый отчет 'SF'; EOL=4705 строк, в прежнем 4693</t>
  </si>
  <si>
    <t>adapt profile: total = 24,28_x000D_
By steps =  23,12 0,04</t>
  </si>
  <si>
    <t>MoveToMatch: В файл '1C.xlsx' загружен новый отчет 'Договоры'; EOL=1358 строк, в прежнем 1353</t>
  </si>
  <si>
    <t>MoveToMatch: В файл 'SFDC.xlsx' загружен новый отчет 'SF'; EOL=4717 строк, в прежнем 4705</t>
  </si>
  <si>
    <t>adapt profile: total = 11,57_x000D_
By steps =  10,71 0,02</t>
  </si>
  <si>
    <t>MoveToMatch: В файл 'SFDC.xlsx' загружен новый отчет 'BTO'; EOL=106 строк, в прежнем 56</t>
  </si>
  <si>
    <t>MoveToMatch: В файл 'SFDC.xlsx' загружен новый отчет 'SFcont'; EOL=8415 строк, в прежнем 8350</t>
  </si>
  <si>
    <t>MoveToMatch: В файл 'SFDC.xlsx' загружен новый отчет 'SFopp'; EOL=3471 строк, в прежнем 3465</t>
  </si>
  <si>
    <t>MoveToMatch: В файл 'SFDC.xlsx' загружен новый отчет 'SFopp'; EOL=3471 строк, в прежнем 3471</t>
  </si>
  <si>
    <t>MoveToMatch: В файл 'SFDC.xlsx' загружен новый отчет 'SFD'; EOL=1117 строк, в прежнем 1117</t>
  </si>
  <si>
    <t>MoveToMatch: В файл 'SFDC.xlsx' загружен новый отчет 'SFacc'; EOL=4254 строк, в прежнем 4250</t>
  </si>
  <si>
    <t>MoveToMatch: В файл 'SFDC.xlsx' загружен новый отчет 'SF'; EOL=4717 строк, в прежнем 4717</t>
  </si>
  <si>
    <t>adapt profile: total = 20,29_x000D_
By steps =  19,33 0,04</t>
  </si>
  <si>
    <t>MoveToMatch: В файл 'SFDC.xlsx' загружен новый отчет 'SFcont'; EOL=8415 строк, в прежнем 8415</t>
  </si>
  <si>
    <t>MoveToMatch: В файл '1C.xlsx' загружен новый отчет 'Платежи'; EOL=5911 строк, в прежнем 5884</t>
  </si>
  <si>
    <t>MoveToMatch: В файл 'SFDC.xlsx' загружен новый отчет 'SFacc'; EOL=4254 строк, в прежнем 4254</t>
  </si>
  <si>
    <t>&lt;! ERROR !&gt; Неизвестный тип товара замена печатающей головки для плоттера canon ipf7xx/1;</t>
  </si>
  <si>
    <t>adapt profile: total = 104,34_x000D_
By steps =  6,13 0,03 23,21 2,86 0,04 0,02 0,00 0,02 0,01 0,01 0,04 0,03 0,02 0,01 0,02 0,03 0,01 0,02 0,01 0,00 0,01 0,02 0,02 0,02 0,02 0,01 0,02 0,01 0,01 0,84 26,96 3,13 3,36 3,45 3,20 14,98 14,23</t>
  </si>
  <si>
    <t>adapt profile: total = 6,91_x000D_
By steps =  1,29 3,05 1,04 0,01 0,00 0,00 0,97 0,00 0,00 0,01 0,00 0,00 0,00 0,00 0,01 0,00 0,00 0,00 0,00 0,00 0,00 0,00 0,00 0,00 0,00 0,00</t>
  </si>
  <si>
    <t>MoveToMatch: В файл '1C.xlsx' загружен новый отчет 'Договоры'; EOL=1358 строк, в прежнем 1358</t>
  </si>
  <si>
    <t>&lt;! ERROR !&gt; GetRep&gt; Не найден Штамп в Документе 'SFacc'_x000D_
_x000D_
Этот Документ надо загрузить в match заново или _x000D_
исправить параметры в TOCmatch.</t>
  </si>
  <si>
    <t>adapt profile: total = 4,16_x000D_
By steps =  0,52 2,52 0,41 0,01 0,00 0,00 0,53 0,00 0,00 0,00 0,00 0,00 0,00 0,00 0,00 0,00 0,00 0,00 0,00 0,00 0,00 0,00 0,01 0,00 0,00 0,00</t>
  </si>
  <si>
    <t>adapt profile: total = 0,23_x000D_
By steps =  0,19</t>
  </si>
  <si>
    <t>adapt profile: total = 8,88_x000D_
By steps =  7,90 0,06</t>
  </si>
  <si>
    <t>adapt profile: total = 2,10_x000D_
By steps =  1,89 0,01</t>
  </si>
  <si>
    <t>adapt profile: total = 1,21_x000D_
By steps =  0,18 0,14 0,14 0,17 0,00 0,16 0,20 0,13 0,06 0,00 0,00 0,00 0,00 0,00 0,00 0,00 0,00 0,00 0,00 0,00 0,00 0,00 0,00 0,00 0,00 0,00 0,00 0,00 0,00 0,00 0,00 0,00 0,00 0,00 0,00 0,00</t>
  </si>
  <si>
    <t>WrCSV&gt; в 'Dogovor.txt' записано 13 строк.</t>
  </si>
  <si>
    <t>MoveToMatch: В файл 'SFDC.xlsx' загружен новый отчет 'SFD'; EOL=1118 строк, в прежнем 1117</t>
  </si>
  <si>
    <t>adapt profile: total = 6,88_x000D_
By steps =  6,54 0,01</t>
  </si>
  <si>
    <t>adapt profile: total = 5,02_x000D_
By steps =  0,78 2,68 0,60 0,01 0,00 0,01 0,47 0,01 0,00 0,00 0,00 0,00 0,00 0,00 0,00 0,00 0,00 0,00 0,00 0,00 0,00 0,00 0,01 0,00 0,00 0,00</t>
  </si>
  <si>
    <t>WrCSV&gt; в 'Dogovor.txt' записано 12 строк.</t>
  </si>
  <si>
    <t>MoveToMatch: В файл 'SFDC.xlsx' загружен новый отчет 'SFD'; EOL=1128 строк, в прежнем 1118</t>
  </si>
  <si>
    <t>adapt profile: total = 5,98_x000D_
By steps =  5,70 0,01</t>
  </si>
  <si>
    <t>adapt profile: total = 5,14_x000D_
By steps =  0,77 2,78 0,57 0,01 0,00 0,01 0,52 0,00 0,00 0,00 0,00 0,00 0,00 0,01 0,00 0,00 0,00 0,00 0,00 0,00 0,00 0,00 0,00 0,00 0,00 0,00</t>
  </si>
  <si>
    <t>MoveToMatch: В файл 'SFDC.xlsx' загружен новый отчет 'SFD'; EOL=1129 строк, в прежнем 1128</t>
  </si>
  <si>
    <t>adapt profile: total = 6,07_x000D_
By steps =  5,81 0,00</t>
  </si>
  <si>
    <t>adapt profile: total = 5,13_x000D_
By steps =  0,78 2,86 0,63 0,00 0,00 0,00 0,42 0,01 0,00 0,00 0,00 0,00 0,01 0,00 0,00 0,00 0,00 0,00 0,00 0,00 0,00 0,00 0,00 0,00 0,00 0,00</t>
  </si>
  <si>
    <t>MoveToMatch: В файл 'SFDC.xlsx' загружен новый отчет 'SFacc'; EOL=4254 строк, в прежнем 4246</t>
  </si>
  <si>
    <t>adapt profile: total = 151,83_x000D_
By steps =  22,28 0,05 27,92 4,61 0,05 0,03 0,01 0,02 0,02 0,02 0,01 0,00 0,02 0,01 0,00 0,01 0,01 0,02 0,01 0,02 0,01 0,03 0,01 0,01 0,02 0,01 0,01 0,01 0,01 1,14 29,13 5,14 7,57 8,04 7,29 19,61 16,51</t>
  </si>
  <si>
    <t>adapt profile: total = 6,58_x000D_
By steps =  1,06 3,73 0,67 0,01 0,00 0,00 0,47 0,01 0,00 0,00 0,00 0,00 0,00 0,00 0,01 0,00 0,00 0,00 0,00 0,00 0,00 0,00 0,00 0,00 0,01 0,00</t>
  </si>
  <si>
    <t>adapt profile: total = 2,82_x000D_
By steps =  2,69</t>
  </si>
  <si>
    <t>adapt profile: total = 3,02_x000D_
By steps =  2,81 0,01</t>
  </si>
  <si>
    <t>MoveToMatch: В файл 'SFDC.xlsx' загружен новый отчет 'SFopp'; EOL=3473 строк, в прежнем 3471</t>
  </si>
  <si>
    <t>MoveToMatch: В файл 'SFDC.xlsx' загружен новый отчет 'SFD'; EOL=1131 строк, в прежнем 1129</t>
  </si>
  <si>
    <t>adapt profile: total = 6,38_x000D_
By steps =  6,13 0,00</t>
  </si>
  <si>
    <t>adapt profile: total = 6,73_x000D_
By steps =  1,06 3,79 0,79 0,01 0,00 0,00 0,49 0,00 0,00 0,00 0,00 0,00 0,00 0,00 0,00 0,00 0,01 0,00 0,00 0,00 0,00 0,00 0,00 0,00 0,01 0,00</t>
  </si>
  <si>
    <t>MoveToMatch: В файл 'SFDC.xlsx' загружен новый отчет 'SF'; EOL=4720 строк, в прежнем 4717</t>
  </si>
  <si>
    <t>adapt profile: total = 20,39_x000D_
By steps =  19,09 0,03</t>
  </si>
  <si>
    <t>adapt profile: total = 387,68_x000D_
By steps =  20,57 0,04 25,75 3,59 0,05 0,01 0,01 0,00 0,02 0,02 0,02 0,02 0,02 0,02 0,01 0,01 0,01 0,02 0,01 0,01 0,01 0,01 0,01 0,01 0,00 0,01 0,00 0,00 0,01 0,94 287,38 3,60 3,91 4,04 3,86 16,69 15,16</t>
  </si>
  <si>
    <t>MoveToMatch: В файл 'SFDC.xlsx' загружен новый отчет 'SF'; EOL=4723 строк, в прежнем 4720</t>
  </si>
  <si>
    <t>adapt profile: total = 19,86_x000D_
By steps =  18,93 0,04</t>
  </si>
  <si>
    <t>adapt profile: total = 70,96_x000D_
By steps =  15,15 0,05 11,00 3,25 0,02 0,02 0,01 0,01 0,00 0,00 0,01 0,00 0,01 0,01 0,00 0,01 0,02 0,02 0,02 0,01 0,02 0,01 0,02 0,01 0,00 0,01 0,00 0,00 0,01 0,55 17,48 3,10 3,44 3,25 3,10 4,78 4,95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</si>
</sst>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868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0" fillId="52" borderId="109" xfId="0" applyFill="1" applyBorder="1"/>
    <xf numFmtId="49" fontId="0" fillId="0" borderId="0" xfId="0" applyNumberFormat="1" applyAlignment="1">
      <alignment wrapText="1"/>
    </xf>
    <xf numFmtId="170" fontId="0" fillId="8" borderId="0" xfId="0" applyNumberFormat="1" applyFill="1" applyAlignment="1">
      <alignment horizontal="center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70" fontId="0" fillId="11" borderId="47" xfId="0" applyNumberFormat="1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" fontId="260" fillId="8" borderId="1" xfId="93" applyNumberFormat="1" applyFont="1" applyFill="1" applyBorder="1" applyAlignment="1">
      <alignment horizontal="right" vertical="top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9"/>
  <sheetViews>
    <sheetView zoomScale="90" zoomScaleNormal="90" workbookViewId="0">
      <selection activeCell="E17" sqref="E17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41470.43577546296</v>
      </c>
      <c r="C1" s="124" t="s">
        <v>572</v>
      </c>
      <c r="J1" s="455" t="s">
        <v>1617</v>
      </c>
      <c r="K1" s="166"/>
      <c r="L1" s="57"/>
      <c r="M1" s="57"/>
      <c r="N1" s="57"/>
      <c r="O1" s="841" t="s">
        <v>581</v>
      </c>
      <c r="P1" s="841" t="s">
        <v>824</v>
      </c>
      <c r="Q1" s="841"/>
      <c r="R1" s="841"/>
      <c r="S1" s="841"/>
    </row>
    <row r="2" spans="1:23" ht="20.25" customHeight="1" x14ac:dyDescent="0.25">
      <c r="O2" s="842"/>
      <c r="P2" s="842"/>
      <c r="Q2" s="842"/>
      <c r="R2" s="842"/>
      <c r="S2" s="842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49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916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41470.43577546296</v>
      </c>
      <c r="B8" s="135" t="s">
        <v>550</v>
      </c>
      <c r="C8" s="140">
        <v>5911</v>
      </c>
      <c r="D8" s="140">
        <v>5</v>
      </c>
      <c r="E8" s="140">
        <v>2</v>
      </c>
      <c r="F8" t="s">
        <v>642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41469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41470.413634259261</v>
      </c>
      <c r="B10" t="s">
        <v>555</v>
      </c>
      <c r="C10" s="144">
        <v>1358</v>
      </c>
      <c r="D10" s="138">
        <v>8</v>
      </c>
      <c r="E10" s="138">
        <v>2</v>
      </c>
      <c r="F10" t="s">
        <v>642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41469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41470.39329861111</v>
      </c>
      <c r="B12" t="s">
        <v>556</v>
      </c>
      <c r="C12" s="144">
        <v>283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41453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41470.434895833336</v>
      </c>
      <c r="B14" s="135" t="s">
        <v>557</v>
      </c>
      <c r="C14" s="140">
        <v>4723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41470.427083333336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41470.413530092592</v>
      </c>
      <c r="B15" t="s">
        <v>560</v>
      </c>
      <c r="C15" s="144">
        <v>1131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41470.413194444445</v>
      </c>
      <c r="O15" s="137"/>
      <c r="Q15" s="137"/>
      <c r="T15" s="148" t="str">
        <f>Process!F32</f>
        <v>LOAD_SFD</v>
      </c>
    </row>
    <row r="16" spans="1:23" ht="15.75" x14ac:dyDescent="0.3">
      <c r="A16" s="247">
        <v>41470.412916666668</v>
      </c>
      <c r="B16" t="s">
        <v>562</v>
      </c>
      <c r="C16" s="144">
        <v>3473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41470.411805555559</v>
      </c>
      <c r="O16" s="137"/>
      <c r="Q16" s="137"/>
    </row>
    <row r="17" spans="1:20" ht="15.75" x14ac:dyDescent="0.3">
      <c r="A17" s="247">
        <v>41470.391284722224</v>
      </c>
      <c r="B17" t="s">
        <v>136</v>
      </c>
      <c r="C17" s="144">
        <v>4254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41470.390277777777</v>
      </c>
      <c r="O17" s="137"/>
      <c r="Q17" s="137"/>
      <c r="T17" t="str">
        <f>Process!F38</f>
        <v>LOAD_SFacc</v>
      </c>
    </row>
    <row r="18" spans="1:20" ht="15.75" x14ac:dyDescent="0.3">
      <c r="A18" s="247">
        <v>41469.571643518517</v>
      </c>
      <c r="B18" t="s">
        <v>565</v>
      </c>
      <c r="C18" s="144">
        <v>8415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41469.550000000003</v>
      </c>
      <c r="O18" s="137"/>
      <c r="Q18" s="137"/>
    </row>
    <row r="19" spans="1:20" ht="15.75" x14ac:dyDescent="0.3">
      <c r="A19" s="832">
        <v>41432.752141203702</v>
      </c>
      <c r="B19" t="s">
        <v>567</v>
      </c>
      <c r="C19" s="144">
        <v>2103</v>
      </c>
      <c r="D19" s="138" t="s">
        <v>579</v>
      </c>
      <c r="E19" s="138">
        <v>6</v>
      </c>
      <c r="F19" t="s">
        <v>592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41432.751388888886</v>
      </c>
      <c r="O19" s="137"/>
      <c r="Q19" s="137"/>
    </row>
    <row r="20" spans="1:20" ht="15.75" x14ac:dyDescent="0.3">
      <c r="A20" s="247">
        <v>41469.565416666665</v>
      </c>
      <c r="B20" t="s">
        <v>1165</v>
      </c>
      <c r="C20" s="144">
        <v>106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1165</v>
      </c>
      <c r="J20" s="131" t="s">
        <v>1164</v>
      </c>
      <c r="K20" s="128" t="s">
        <v>576</v>
      </c>
      <c r="L20" s="139">
        <v>2</v>
      </c>
      <c r="M20" s="139">
        <v>1</v>
      </c>
      <c r="N20" s="123">
        <v>41469.551388888889</v>
      </c>
      <c r="O20" s="137"/>
      <c r="Q20" s="137"/>
    </row>
    <row r="21" spans="1:20" ht="15.75" x14ac:dyDescent="0.3">
      <c r="A21" s="247">
        <v>41469.568298611113</v>
      </c>
      <c r="B21" t="s">
        <v>568</v>
      </c>
      <c r="C21" s="144">
        <v>191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41469.549305555556</v>
      </c>
      <c r="O21" s="137"/>
      <c r="Q21" s="137"/>
    </row>
    <row r="22" spans="1:20" ht="15.75" x14ac:dyDescent="0.3">
      <c r="A22" s="832">
        <v>41425.724710648145</v>
      </c>
      <c r="B22" t="s">
        <v>570</v>
      </c>
      <c r="C22" s="144">
        <v>771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41425.723611111112</v>
      </c>
      <c r="O22" s="549"/>
      <c r="P22" s="296"/>
      <c r="Q22" s="549"/>
      <c r="R22" s="296"/>
      <c r="S22" s="296"/>
    </row>
    <row r="23" spans="1:20" s="135" customFormat="1" x14ac:dyDescent="0.25">
      <c r="A23" s="794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973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974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975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976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977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978</v>
      </c>
      <c r="N28" s="284"/>
      <c r="O28" s="285"/>
      <c r="Q28" s="285"/>
      <c r="R28" s="286"/>
    </row>
    <row r="29" spans="1:20" s="287" customFormat="1" x14ac:dyDescent="0.25">
      <c r="A29" s="836">
        <v>41469.840324074074</v>
      </c>
      <c r="B29" s="287" t="s">
        <v>590</v>
      </c>
      <c r="C29" s="288">
        <v>272</v>
      </c>
      <c r="D29" s="522">
        <v>8</v>
      </c>
      <c r="E29" s="522">
        <v>19</v>
      </c>
      <c r="F29" s="287" t="s">
        <v>768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41425.905902777777</v>
      </c>
      <c r="O29" s="287" t="s">
        <v>314</v>
      </c>
      <c r="P29" s="523"/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/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/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/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1065</v>
      </c>
      <c r="N33" s="147"/>
      <c r="P33" s="524"/>
    </row>
    <row r="34" spans="1:20" s="287" customFormat="1" x14ac:dyDescent="0.25">
      <c r="A34" s="795">
        <v>41370.590057870373</v>
      </c>
      <c r="B34" s="287" t="s">
        <v>1069</v>
      </c>
      <c r="C34" s="288" t="s">
        <v>1117</v>
      </c>
      <c r="F34" s="287" t="s">
        <v>592</v>
      </c>
      <c r="G34" s="522">
        <v>10</v>
      </c>
      <c r="H34" s="287" t="s">
        <v>669</v>
      </c>
      <c r="I34" s="791" t="s">
        <v>1069</v>
      </c>
      <c r="J34" s="289" t="s">
        <v>1072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1073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1074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984</v>
      </c>
      <c r="C41" s="701">
        <v>1</v>
      </c>
      <c r="D41" s="701"/>
      <c r="E41" s="701"/>
      <c r="H41" s="700" t="s">
        <v>922</v>
      </c>
      <c r="I41" s="709" t="str">
        <f>B41</f>
        <v>DicAcc</v>
      </c>
      <c r="J41" s="702"/>
      <c r="K41" s="703" t="s">
        <v>923</v>
      </c>
      <c r="L41" s="704"/>
      <c r="M41" s="704"/>
      <c r="N41" s="705">
        <v>41237.062407407408</v>
      </c>
      <c r="O41" s="706"/>
      <c r="P41" s="700" t="s">
        <v>983</v>
      </c>
      <c r="Q41" s="706"/>
      <c r="R41" s="707"/>
    </row>
    <row r="42" spans="1:20" s="782" customFormat="1" x14ac:dyDescent="0.25">
      <c r="A42" s="781">
        <v>0</v>
      </c>
      <c r="B42" s="782" t="s">
        <v>1068</v>
      </c>
      <c r="C42" s="783">
        <v>76</v>
      </c>
      <c r="D42" s="783"/>
      <c r="E42" s="783"/>
      <c r="F42" s="782" t="s">
        <v>1087</v>
      </c>
      <c r="H42" s="782" t="s">
        <v>922</v>
      </c>
      <c r="I42" s="784" t="s">
        <v>1068</v>
      </c>
      <c r="J42" s="785"/>
      <c r="K42" s="786" t="s">
        <v>923</v>
      </c>
      <c r="L42" s="787"/>
      <c r="M42" s="787"/>
      <c r="N42" s="788">
        <v>41410.834999999999</v>
      </c>
      <c r="O42" s="789"/>
      <c r="P42" s="782" t="s">
        <v>1083</v>
      </c>
      <c r="Q42" s="789"/>
      <c r="R42" s="790"/>
    </row>
    <row r="43" spans="1:20" s="148" customFormat="1" x14ac:dyDescent="0.25">
      <c r="A43" s="648">
        <v>41460.995636574073</v>
      </c>
      <c r="B43" s="148" t="s">
        <v>792</v>
      </c>
      <c r="C43" s="274">
        <v>21</v>
      </c>
      <c r="D43" s="274"/>
      <c r="E43" s="274"/>
      <c r="F43" s="148" t="s">
        <v>619</v>
      </c>
      <c r="H43" s="148" t="s">
        <v>922</v>
      </c>
      <c r="I43" s="627" t="s">
        <v>792</v>
      </c>
      <c r="J43" s="150"/>
      <c r="K43" s="151" t="s">
        <v>923</v>
      </c>
      <c r="L43" s="152"/>
      <c r="M43" s="152"/>
      <c r="N43" s="147">
        <v>41460.995636574073</v>
      </c>
      <c r="O43" s="153"/>
      <c r="P43" s="148" t="s">
        <v>917</v>
      </c>
      <c r="Q43" s="153"/>
      <c r="R43" s="276"/>
    </row>
    <row r="44" spans="1:20" s="148" customFormat="1" x14ac:dyDescent="0.25">
      <c r="A44" s="648">
        <v>41470.399340277778</v>
      </c>
      <c r="B44" s="148" t="s">
        <v>667</v>
      </c>
      <c r="C44" s="274">
        <v>3</v>
      </c>
      <c r="D44" s="274"/>
      <c r="E44" s="274"/>
      <c r="F44" s="148" t="s">
        <v>619</v>
      </c>
      <c r="H44" s="148" t="s">
        <v>922</v>
      </c>
      <c r="I44" s="627" t="s">
        <v>667</v>
      </c>
      <c r="J44" s="150"/>
      <c r="K44" s="151" t="s">
        <v>923</v>
      </c>
      <c r="L44" s="152"/>
      <c r="M44" s="152"/>
      <c r="N44" s="147">
        <v>41470.399328703701</v>
      </c>
      <c r="O44" s="153"/>
      <c r="P44" s="148" t="s">
        <v>918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922</v>
      </c>
      <c r="I45" s="627" t="s">
        <v>802</v>
      </c>
      <c r="J45" s="150"/>
      <c r="K45" s="151" t="s">
        <v>923</v>
      </c>
      <c r="L45" s="152"/>
      <c r="M45" s="152"/>
      <c r="N45" s="147">
        <v>41344.97896990741</v>
      </c>
      <c r="O45" s="153"/>
      <c r="P45" s="148" t="s">
        <v>920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922</v>
      </c>
      <c r="I46" s="627" t="s">
        <v>914</v>
      </c>
      <c r="J46" s="150"/>
      <c r="K46" s="151" t="s">
        <v>923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41430.738321759258</v>
      </c>
      <c r="B47" s="148" t="s">
        <v>1110</v>
      </c>
      <c r="C47" s="274">
        <v>1</v>
      </c>
      <c r="D47" s="274"/>
      <c r="E47" s="274"/>
      <c r="F47" s="148" t="s">
        <v>619</v>
      </c>
      <c r="H47" s="148" t="s">
        <v>922</v>
      </c>
      <c r="I47" s="627" t="s">
        <v>1110</v>
      </c>
      <c r="J47" s="150"/>
      <c r="K47" s="151" t="s">
        <v>923</v>
      </c>
      <c r="L47" s="152"/>
      <c r="M47" s="152"/>
      <c r="N47" s="147">
        <v>41430.73814814815</v>
      </c>
      <c r="O47" s="807"/>
      <c r="P47" s="159" t="s">
        <v>1111</v>
      </c>
      <c r="Q47" s="807"/>
      <c r="R47" s="276"/>
      <c r="S47" s="159"/>
      <c r="T47" s="159"/>
    </row>
    <row r="48" spans="1:20" s="629" customFormat="1" x14ac:dyDescent="0.25">
      <c r="A48" s="649"/>
      <c r="B48" s="629" t="s">
        <v>948</v>
      </c>
      <c r="C48" s="630" t="s">
        <v>900</v>
      </c>
      <c r="D48" s="630"/>
      <c r="E48" s="630"/>
      <c r="H48" s="629" t="s">
        <v>922</v>
      </c>
      <c r="I48" s="631" t="s">
        <v>915</v>
      </c>
      <c r="J48" s="632"/>
      <c r="K48" s="633" t="s">
        <v>923</v>
      </c>
      <c r="L48" s="634"/>
      <c r="M48" s="634"/>
      <c r="N48" s="635"/>
      <c r="O48" s="636"/>
      <c r="P48" s="640" t="s">
        <v>949</v>
      </c>
      <c r="Q48" s="641"/>
      <c r="R48" s="642"/>
      <c r="S48" s="640"/>
      <c r="T48" s="640"/>
    </row>
    <row r="49" spans="1:18" s="296" customFormat="1" x14ac:dyDescent="0.25">
      <c r="A49" s="650"/>
      <c r="B49" s="296" t="s">
        <v>913</v>
      </c>
      <c r="C49" s="624" t="s">
        <v>115</v>
      </c>
      <c r="D49" s="624"/>
      <c r="E49" s="624"/>
      <c r="H49" s="296" t="s">
        <v>922</v>
      </c>
      <c r="I49" s="628" t="s">
        <v>913</v>
      </c>
      <c r="J49" s="298"/>
      <c r="K49" s="294" t="s">
        <v>923</v>
      </c>
      <c r="L49" s="299"/>
      <c r="M49" s="299"/>
      <c r="N49" s="625"/>
      <c r="O49" s="549"/>
      <c r="P49" s="296" t="s">
        <v>921</v>
      </c>
      <c r="Q49" s="549"/>
      <c r="R49" s="626"/>
    </row>
    <row r="50" spans="1:18" x14ac:dyDescent="0.25">
      <c r="A50" s="249"/>
    </row>
    <row r="51" spans="1:18" x14ac:dyDescent="0.25">
      <c r="A51" s="249"/>
    </row>
    <row r="52" spans="1:18" x14ac:dyDescent="0.25">
      <c r="A52" s="249"/>
    </row>
    <row r="53" spans="1:18" x14ac:dyDescent="0.25">
      <c r="A53" s="249"/>
    </row>
    <row r="54" spans="1:18" x14ac:dyDescent="0.25">
      <c r="A54" s="249"/>
    </row>
    <row r="55" spans="1:18" x14ac:dyDescent="0.25">
      <c r="A55" s="249"/>
    </row>
    <row r="56" spans="1:18" x14ac:dyDescent="0.25">
      <c r="A56" s="249"/>
    </row>
    <row r="57" spans="1:18" x14ac:dyDescent="0.25">
      <c r="A57" s="249"/>
    </row>
    <row r="58" spans="1:18" x14ac:dyDescent="0.25">
      <c r="A58" s="249"/>
    </row>
    <row r="59" spans="1:18" x14ac:dyDescent="0.25">
      <c r="A59" s="249"/>
    </row>
    <row r="60" spans="1:18" x14ac:dyDescent="0.25">
      <c r="A60" s="249"/>
    </row>
    <row r="61" spans="1:18" x14ac:dyDescent="0.25">
      <c r="A61" s="249"/>
    </row>
    <row r="62" spans="1:18" x14ac:dyDescent="0.25">
      <c r="A62" s="249"/>
    </row>
    <row r="63" spans="1:18" x14ac:dyDescent="0.25">
      <c r="A63" s="249"/>
    </row>
    <row r="64" spans="1:18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R130"/>
  <sheetViews>
    <sheetView tabSelected="1" topLeftCell="A69" zoomScale="90" zoomScaleNormal="90" workbookViewId="0">
      <selection activeCell="F88" sqref="F88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  <col min="18" max="18" width="15.5703125" bestFit="1" customWidth="1"/>
  </cols>
  <sheetData>
    <row r="1" spans="1:18" ht="19.5" customHeight="1" thickBot="1" x14ac:dyDescent="0.35">
      <c r="A1" s="125">
        <v>41470.43577546296</v>
      </c>
      <c r="C1" s="124" t="s">
        <v>602</v>
      </c>
      <c r="D1" s="124"/>
      <c r="G1" s="456"/>
      <c r="H1" s="456"/>
      <c r="I1" s="456"/>
    </row>
    <row r="2" spans="1:18" ht="15" customHeight="1" thickBot="1" x14ac:dyDescent="0.35">
      <c r="B2" s="124"/>
    </row>
    <row r="3" spans="1:18" ht="15.75" customHeight="1" x14ac:dyDescent="0.25">
      <c r="E3" s="843" t="s">
        <v>606</v>
      </c>
      <c r="F3" s="845" t="s">
        <v>607</v>
      </c>
      <c r="G3" s="846"/>
      <c r="H3" s="846"/>
      <c r="I3" s="846"/>
      <c r="J3" s="847"/>
      <c r="K3" s="845" t="s">
        <v>608</v>
      </c>
      <c r="L3" s="846"/>
      <c r="M3" s="846"/>
      <c r="N3" s="846"/>
      <c r="O3" s="847"/>
    </row>
    <row r="4" spans="1:18" s="122" customFormat="1" ht="15.75" thickBot="1" x14ac:dyDescent="0.3">
      <c r="B4" s="157" t="s">
        <v>603</v>
      </c>
      <c r="C4" s="122" t="s">
        <v>604</v>
      </c>
      <c r="E4" s="844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  <c r="R4"/>
    </row>
    <row r="5" spans="1:18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  <c r="R5"/>
    </row>
    <row r="6" spans="1:18" s="172" customFormat="1" x14ac:dyDescent="0.25">
      <c r="A6" s="776"/>
      <c r="B6" s="777" t="s">
        <v>612</v>
      </c>
      <c r="C6" s="776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  <c r="R6"/>
    </row>
    <row r="7" spans="1:18" s="172" customFormat="1" hidden="1" outlineLevel="1" x14ac:dyDescent="0.25">
      <c r="A7" s="751">
        <v>41469.572731481479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  <c r="R7"/>
    </row>
    <row r="8" spans="1:18" s="172" customFormat="1" hidden="1" outlineLevel="1" x14ac:dyDescent="0.25">
      <c r="A8" s="751">
        <v>41470.435717592591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  <c r="R8"/>
    </row>
    <row r="9" spans="1:18" s="172" customFormat="1" hidden="1" outlineLevel="1" x14ac:dyDescent="0.25">
      <c r="A9" s="751">
        <v>41470.435729166667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  <c r="R9"/>
    </row>
    <row r="10" spans="1:18" s="173" customFormat="1" hidden="1" outlineLevel="1" x14ac:dyDescent="0.25">
      <c r="A10" s="837">
        <v>41470.435763888891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  <c r="R10"/>
    </row>
    <row r="11" spans="1:18" hidden="1" outlineLevel="1" x14ac:dyDescent="0.25">
      <c r="A11" s="751">
        <v>41470.43577546296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8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  <c r="R12"/>
    </row>
    <row r="13" spans="1:18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  <c r="R13"/>
    </row>
    <row r="14" spans="1:18" s="148" customFormat="1" hidden="1" outlineLevel="1" x14ac:dyDescent="0.25">
      <c r="A14" s="751">
        <v>41469.742662037039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  <c r="R14"/>
    </row>
    <row r="15" spans="1:18" s="148" customFormat="1" hidden="1" outlineLevel="1" x14ac:dyDescent="0.25">
      <c r="A15" s="751">
        <v>41470.413611111115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  <c r="R15"/>
    </row>
    <row r="16" spans="1:18" s="148" customFormat="1" hidden="1" outlineLevel="1" x14ac:dyDescent="0.25">
      <c r="A16" s="837">
        <v>41470.413611111115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  <c r="R16"/>
    </row>
    <row r="17" spans="1:18" s="148" customFormat="1" hidden="1" outlineLevel="1" x14ac:dyDescent="0.25">
      <c r="A17" s="837">
        <v>41470.413622685184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  <c r="R17"/>
    </row>
    <row r="18" spans="1:18" hidden="1" outlineLevel="1" x14ac:dyDescent="0.25">
      <c r="A18" s="751">
        <v>41470.413634259261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8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  <c r="R19"/>
    </row>
    <row r="20" spans="1:18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  <c r="R20"/>
    </row>
    <row r="21" spans="1:18" s="172" customFormat="1" hidden="1" outlineLevel="1" x14ac:dyDescent="0.25">
      <c r="A21" s="751">
        <v>41460.926238425927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  <c r="R21"/>
    </row>
    <row r="22" spans="1:18" s="148" customFormat="1" hidden="1" outlineLevel="1" x14ac:dyDescent="0.25">
      <c r="A22" s="751">
        <v>41460.926238425927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  <c r="R22"/>
    </row>
    <row r="23" spans="1:18" s="148" customFormat="1" hidden="1" outlineLevel="1" x14ac:dyDescent="0.25">
      <c r="A23" s="751">
        <v>41470.39329861111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  <c r="R23"/>
    </row>
    <row r="24" spans="1:18" hidden="1" outlineLevel="1" x14ac:dyDescent="0.25">
      <c r="A24" s="751">
        <v>41470.39329861111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8" s="246" customFormat="1" ht="15.75" hidden="1" outlineLevel="1" thickBot="1" x14ac:dyDescent="0.3">
      <c r="A25" s="838"/>
      <c r="B25" s="839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  <c r="R25"/>
    </row>
    <row r="26" spans="1:18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  <c r="R26"/>
    </row>
    <row r="27" spans="1:18" hidden="1" outlineLevel="1" x14ac:dyDescent="0.25">
      <c r="A27" s="751">
        <v>41470.434641203705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8" ht="45" hidden="1" outlineLevel="1" x14ac:dyDescent="0.25">
      <c r="A28" s="751">
        <v>41470.434895833336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8" hidden="1" outlineLevel="1" x14ac:dyDescent="0.25">
      <c r="A29" s="751">
        <v>41470.434895833336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8" hidden="1" outlineLevel="1" x14ac:dyDescent="0.25">
      <c r="A30" s="751">
        <v>41470.43577546296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8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  <c r="R31"/>
    </row>
    <row r="32" spans="1:18" s="172" customFormat="1" collapsed="1" x14ac:dyDescent="0.25">
      <c r="A32" s="833"/>
      <c r="B32" s="834" t="s">
        <v>612</v>
      </c>
      <c r="C32" s="835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  <c r="R32"/>
    </row>
    <row r="33" spans="1:18" hidden="1" outlineLevel="1" x14ac:dyDescent="0.25">
      <c r="A33" s="751">
        <v>41470.413449074076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8" hidden="1" outlineLevel="1" x14ac:dyDescent="0.25">
      <c r="A34" s="751">
        <v>41470.413530092592</v>
      </c>
      <c r="B34" s="752" t="s">
        <v>768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300" t="str">
        <f>TOCmatch!B17</f>
        <v>SFacc</v>
      </c>
      <c r="O34" s="221"/>
    </row>
    <row r="35" spans="1:18" hidden="1" outlineLevel="1" x14ac:dyDescent="0.25">
      <c r="A35" s="751">
        <v>41470.413530092592</v>
      </c>
      <c r="B35" s="752" t="s">
        <v>605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8" hidden="1" outlineLevel="1" x14ac:dyDescent="0.25">
      <c r="A36" s="751">
        <v>41470.413634259261</v>
      </c>
      <c r="B36" s="754" t="s">
        <v>650</v>
      </c>
      <c r="C36" s="657" t="str">
        <f>B35</f>
        <v>DateSort</v>
      </c>
      <c r="D36" s="5"/>
      <c r="E36" s="217" t="s">
        <v>70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8" s="186" customFormat="1" hidden="1" outlineLevel="1" x14ac:dyDescent="0.25">
      <c r="A37" s="755"/>
      <c r="B37" s="756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  <c r="R37"/>
    </row>
    <row r="38" spans="1:18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  <c r="R38"/>
    </row>
    <row r="39" spans="1:18" hidden="1" outlineLevel="1" x14ac:dyDescent="0.25">
      <c r="A39" s="751">
        <v>41470.393159722225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8" hidden="1" outlineLevel="1" x14ac:dyDescent="0.25">
      <c r="A40" s="751">
        <v>41470.393252314818</v>
      </c>
      <c r="B40" s="752" t="s">
        <v>650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8" hidden="1" outlineLevel="1" x14ac:dyDescent="0.25">
      <c r="A41" s="751">
        <v>41470.39329861111</v>
      </c>
      <c r="B41" s="752" t="s">
        <v>650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8" s="246" customFormat="1" ht="15.75" hidden="1" outlineLevel="1" thickBot="1" x14ac:dyDescent="0.3">
      <c r="A42" s="838"/>
      <c r="B42" s="839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  <c r="R42"/>
    </row>
    <row r="43" spans="1:18" s="172" customFormat="1" ht="15.75" collapsed="1" thickBot="1" x14ac:dyDescent="0.3">
      <c r="A43" s="776"/>
      <c r="B43" s="777" t="s">
        <v>612</v>
      </c>
      <c r="C43" s="776"/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  <c r="R43"/>
    </row>
    <row r="44" spans="1:18" s="172" customFormat="1" hidden="1" outlineLevel="1" x14ac:dyDescent="0.25">
      <c r="A44" s="751">
        <v>41430.641481481478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  <c r="R44"/>
    </row>
    <row r="45" spans="1:18" s="172" customFormat="1" hidden="1" outlineLevel="1" x14ac:dyDescent="0.25">
      <c r="A45" s="751">
        <v>41430.641481481478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  <c r="R45"/>
    </row>
    <row r="46" spans="1:18" s="172" customFormat="1" hidden="1" outlineLevel="1" x14ac:dyDescent="0.25">
      <c r="A46" s="751">
        <v>41469.840324074074</v>
      </c>
      <c r="B46" s="752" t="s">
        <v>768</v>
      </c>
      <c r="C46" s="472" t="str">
        <f>B45</f>
        <v>InsMyCol</v>
      </c>
      <c r="D46" s="195"/>
      <c r="E46" s="196" t="s">
        <v>70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  <c r="R46"/>
    </row>
    <row r="47" spans="1:18" s="186" customFormat="1" ht="15.75" hidden="1" outlineLevel="1" thickBot="1" x14ac:dyDescent="0.3">
      <c r="A47" s="755"/>
      <c r="B47" s="756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8" s="172" customFormat="1" ht="16.5" collapsed="1" thickTop="1" thickBot="1" x14ac:dyDescent="0.3">
      <c r="A48" s="776"/>
      <c r="B48" s="777" t="s">
        <v>612</v>
      </c>
      <c r="C48" s="776"/>
      <c r="E48" s="475" t="s">
        <v>201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  <c r="R48"/>
    </row>
    <row r="49" spans="1:15" s="172" customFormat="1" ht="15.75" hidden="1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6.5" collapsed="1" thickTop="1" thickBot="1" x14ac:dyDescent="0.3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967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hidden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L130</f>
        <v>Платежи</v>
      </c>
      <c r="M52" s="197"/>
      <c r="N52" s="300" t="str">
        <f>TOCmatch!B14</f>
        <v>SF</v>
      </c>
      <c r="O52" s="198"/>
    </row>
    <row r="53" spans="1:15" s="186" customFormat="1" ht="15.75" hidden="1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collapsed="1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201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194"/>
      <c r="B65" s="195" t="s">
        <v>612</v>
      </c>
      <c r="C65" s="237"/>
      <c r="D65" s="211"/>
      <c r="E65" s="475" t="s">
        <v>201</v>
      </c>
      <c r="F65" s="212" t="s">
        <v>1052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60"/>
    </row>
    <row r="66" spans="1:16" s="172" customFormat="1" ht="15.75" thickTop="1" x14ac:dyDescent="0.25">
      <c r="A66" s="194">
        <v>41429.825729166667</v>
      </c>
      <c r="B66" s="195" t="s">
        <v>768</v>
      </c>
      <c r="C66" s="796" t="str">
        <f>F6&amp;"/"&amp;B10</f>
        <v>LOAD_1C_P/PaymentPaint</v>
      </c>
      <c r="D66" s="195"/>
      <c r="E66" s="196" t="s">
        <v>201</v>
      </c>
      <c r="F66" s="762" t="s">
        <v>1053</v>
      </c>
      <c r="G66" s="763" t="str">
        <f>K66</f>
        <v>Платежи</v>
      </c>
      <c r="H66" s="764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60"/>
    </row>
    <row r="67" spans="1:16" s="172" customFormat="1" x14ac:dyDescent="0.25">
      <c r="A67" s="194">
        <v>41429.825729166667</v>
      </c>
      <c r="B67" s="201" t="s">
        <v>619</v>
      </c>
      <c r="C67" s="460" t="str">
        <f>B66</f>
        <v>Adapt</v>
      </c>
      <c r="D67" s="195"/>
      <c r="E67" s="196" t="s">
        <v>201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60"/>
    </row>
    <row r="68" spans="1:16" s="186" customFormat="1" ht="15.75" thickBot="1" x14ac:dyDescent="0.3">
      <c r="A68" s="203"/>
      <c r="B68" s="204" t="s">
        <v>613</v>
      </c>
      <c r="C68" s="778">
        <v>9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61"/>
    </row>
    <row r="69" spans="1:16" s="172" customFormat="1" ht="16.5" thickTop="1" thickBot="1" x14ac:dyDescent="0.3">
      <c r="A69" s="194"/>
      <c r="B69" s="195" t="s">
        <v>612</v>
      </c>
      <c r="C69" s="237"/>
      <c r="D69" s="211"/>
      <c r="E69" s="475" t="s">
        <v>201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194">
        <v>41460.995636574073</v>
      </c>
      <c r="B70" s="195" t="s">
        <v>982</v>
      </c>
      <c r="C70" s="796" t="str">
        <f>F6&amp;"/"&amp;B10</f>
        <v>LOAD_1C_P/PaymentPaint</v>
      </c>
      <c r="D70" s="195"/>
      <c r="E70" s="196" t="s">
        <v>201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194">
        <v>41460.995636574073</v>
      </c>
      <c r="B71" s="201" t="s">
        <v>619</v>
      </c>
      <c r="C71" s="460" t="str">
        <f>B70</f>
        <v>PaidContr</v>
      </c>
      <c r="D71" s="195"/>
      <c r="E71" s="196" t="s">
        <v>201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203"/>
      <c r="B72" s="204" t="s">
        <v>613</v>
      </c>
      <c r="C72" s="778">
        <v>20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194"/>
      <c r="B73" s="195" t="s">
        <v>612</v>
      </c>
      <c r="C73" s="237"/>
      <c r="D73" s="211"/>
      <c r="E73" s="475" t="s">
        <v>579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194">
        <v>41470.399328703701</v>
      </c>
      <c r="B74" s="195" t="s">
        <v>656</v>
      </c>
      <c r="C74" s="796" t="str">
        <f>F13&amp;"/"&amp;B14</f>
        <v>LOAD_1C_DOG/InsMyCol</v>
      </c>
      <c r="D74" s="195"/>
      <c r="E74" s="196" t="s">
        <v>201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194">
        <v>41470.399340277778</v>
      </c>
      <c r="B75" s="201" t="s">
        <v>619</v>
      </c>
      <c r="C75" s="460" t="str">
        <f>B74</f>
        <v>NewContr</v>
      </c>
      <c r="D75" s="195"/>
      <c r="E75" s="196" t="s">
        <v>201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203"/>
      <c r="B76" s="204" t="s">
        <v>613</v>
      </c>
      <c r="C76" s="778">
        <v>2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194"/>
      <c r="B77" s="195" t="s">
        <v>612</v>
      </c>
      <c r="C77" s="237"/>
      <c r="D77" s="211"/>
      <c r="E77" s="475" t="s">
        <v>579</v>
      </c>
      <c r="F77" s="474" t="s">
        <v>1112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08"/>
    </row>
    <row r="78" spans="1:16" s="172" customFormat="1" ht="15.75" thickTop="1" x14ac:dyDescent="0.25">
      <c r="A78" s="194">
        <v>41430.738321759258</v>
      </c>
      <c r="B78" s="195" t="s">
        <v>1110</v>
      </c>
      <c r="C78" s="796" t="str">
        <f>F43&amp;"/"&amp;B46</f>
        <v>LOAD_Order/Adapt</v>
      </c>
      <c r="D78" s="195"/>
      <c r="E78" s="196" t="s">
        <v>201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08"/>
    </row>
    <row r="79" spans="1:16" s="172" customFormat="1" x14ac:dyDescent="0.25">
      <c r="A79" s="194">
        <v>41430.738321759258</v>
      </c>
      <c r="B79" s="201" t="s">
        <v>619</v>
      </c>
      <c r="C79" s="460" t="str">
        <f>B78</f>
        <v>NewOrder</v>
      </c>
      <c r="D79" s="195"/>
      <c r="E79" s="196" t="s">
        <v>201</v>
      </c>
      <c r="F79" s="267" t="str">
        <f>F78</f>
        <v>NewOrder</v>
      </c>
      <c r="G79" s="200" t="s">
        <v>790</v>
      </c>
      <c r="H79" s="214" t="s">
        <v>1113</v>
      </c>
      <c r="I79" s="214" t="s">
        <v>1114</v>
      </c>
      <c r="J79" s="198"/>
      <c r="K79" s="266" t="str">
        <f>F79</f>
        <v>NewOrder</v>
      </c>
      <c r="M79" s="197"/>
      <c r="N79" s="200"/>
      <c r="O79" s="198"/>
      <c r="P79" s="808"/>
    </row>
    <row r="80" spans="1:16" s="186" customFormat="1" ht="15.75" thickBot="1" x14ac:dyDescent="0.3">
      <c r="A80" s="203"/>
      <c r="B80" s="204" t="s">
        <v>613</v>
      </c>
      <c r="C80" s="778">
        <v>0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09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201</v>
      </c>
      <c r="F81" s="474" t="s">
        <v>1015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9" t="str">
        <f>F73&amp;"/"&amp;B75</f>
        <v>HANDL_NewContract/WrCSV</v>
      </c>
      <c r="D82" s="195"/>
      <c r="E82" s="196" t="s">
        <v>201</v>
      </c>
      <c r="F82" s="731" t="s">
        <v>1020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946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8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201</v>
      </c>
      <c r="F89" s="212" t="s">
        <v>985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986</v>
      </c>
      <c r="C90" s="159" t="str">
        <f>F20&amp;"/"&amp;B22</f>
        <v>LOAD_1C_ACC/InsMyCol</v>
      </c>
      <c r="D90" s="5"/>
      <c r="E90" s="217" t="s">
        <v>201</v>
      </c>
      <c r="F90" s="199" t="s">
        <v>984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194"/>
      <c r="B92" s="195" t="s">
        <v>612</v>
      </c>
      <c r="C92" s="237"/>
      <c r="D92" s="211"/>
      <c r="E92" s="475" t="s">
        <v>579</v>
      </c>
      <c r="F92" s="212" t="s">
        <v>1070</v>
      </c>
      <c r="G92" s="197"/>
      <c r="H92" s="197"/>
      <c r="I92" s="197"/>
      <c r="J92" s="198"/>
      <c r="K92" s="187" t="s">
        <v>1069</v>
      </c>
      <c r="L92" s="200"/>
      <c r="M92" s="197"/>
      <c r="N92" s="200"/>
      <c r="O92" s="198"/>
      <c r="P92" s="825"/>
    </row>
    <row r="93" spans="1:16" ht="15.75" thickTop="1" x14ac:dyDescent="0.25">
      <c r="A93" s="194">
        <v>41410.835046296299</v>
      </c>
      <c r="B93" s="201" t="s">
        <v>1071</v>
      </c>
      <c r="C93" s="159" t="s">
        <v>592</v>
      </c>
      <c r="D93" s="5"/>
      <c r="E93" s="217" t="s">
        <v>201</v>
      </c>
      <c r="F93" s="830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92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26"/>
    </row>
    <row r="94" spans="1:16" s="172" customFormat="1" x14ac:dyDescent="0.25">
      <c r="A94" s="194"/>
      <c r="B94" s="201" t="s">
        <v>619</v>
      </c>
      <c r="C94" s="460" t="str">
        <f>B93</f>
        <v>BTO_Mail_track</v>
      </c>
      <c r="D94" s="195"/>
      <c r="E94" s="196" t="s">
        <v>201</v>
      </c>
      <c r="F94" s="830" t="str">
        <f>F93</f>
        <v>BTOlog</v>
      </c>
      <c r="G94" s="200" t="s">
        <v>790</v>
      </c>
      <c r="H94" s="214" t="s">
        <v>1167</v>
      </c>
      <c r="I94" s="214" t="s">
        <v>1168</v>
      </c>
      <c r="J94" s="198"/>
      <c r="K94" s="830" t="str">
        <f>F94</f>
        <v>BTOlog</v>
      </c>
      <c r="M94" s="197"/>
      <c r="N94" s="200"/>
      <c r="O94" s="198"/>
      <c r="P94" s="826"/>
    </row>
    <row r="95" spans="1:16" s="186" customFormat="1" ht="15.75" thickBot="1" x14ac:dyDescent="0.3">
      <c r="A95" s="203"/>
      <c r="B95" s="204" t="s">
        <v>613</v>
      </c>
      <c r="C95" s="236"/>
      <c r="D95" s="204"/>
      <c r="E95" s="205" t="s">
        <v>201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827"/>
    </row>
    <row r="96" spans="1:16" s="513" customFormat="1" ht="16.5" thickTop="1" thickBot="1" x14ac:dyDescent="0.3">
      <c r="A96" s="757">
        <v>41201.045671296299</v>
      </c>
      <c r="B96" s="758" t="s">
        <v>612</v>
      </c>
      <c r="C96" s="759"/>
      <c r="D96" s="507"/>
      <c r="E96" s="508" t="s">
        <v>201</v>
      </c>
      <c r="F96" s="509" t="s">
        <v>819</v>
      </c>
      <c r="G96" s="507"/>
      <c r="H96" s="507"/>
      <c r="I96" s="507"/>
      <c r="J96" s="510"/>
      <c r="K96" s="511" t="str">
        <f>K6</f>
        <v>Платежи</v>
      </c>
      <c r="L96" s="512"/>
      <c r="M96" s="507"/>
      <c r="N96" s="512"/>
      <c r="O96" s="510"/>
    </row>
    <row r="97" spans="1:15" s="172" customFormat="1" ht="16.5" thickTop="1" thickBot="1" x14ac:dyDescent="0.3">
      <c r="A97" s="263">
        <v>41289.96565972222</v>
      </c>
      <c r="B97" s="457" t="s">
        <v>822</v>
      </c>
      <c r="C97" s="458"/>
      <c r="D97" s="195"/>
      <c r="E97" s="449" t="s">
        <v>70</v>
      </c>
      <c r="F97" s="199" t="str">
        <f>F73</f>
        <v>HANDL_NewContract</v>
      </c>
      <c r="G97" s="685" t="str">
        <f>F96</f>
        <v>WP_PaidOpp</v>
      </c>
      <c r="H97" s="685" t="str">
        <f>B103</f>
        <v>WP_Paid</v>
      </c>
      <c r="I97" s="686">
        <v>7</v>
      </c>
      <c r="J97" s="198"/>
      <c r="K97" s="199"/>
      <c r="L97" s="200"/>
      <c r="M97" s="197"/>
      <c r="N97" s="200"/>
      <c r="O97" s="198"/>
    </row>
    <row r="98" spans="1:15" s="172" customFormat="1" x14ac:dyDescent="0.25">
      <c r="A98" s="263">
        <v>41289.96565972222</v>
      </c>
      <c r="B98" s="264" t="s">
        <v>821</v>
      </c>
      <c r="C98" s="572" t="str">
        <f>B97</f>
        <v>ProcReset</v>
      </c>
      <c r="D98" s="195"/>
      <c r="E98" s="196" t="s">
        <v>70</v>
      </c>
      <c r="F98" s="514">
        <f>C76</f>
        <v>2</v>
      </c>
      <c r="G98" s="220"/>
      <c r="H98" s="197"/>
      <c r="I98" s="197"/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41289.965682870374</v>
      </c>
      <c r="B99" s="457" t="s">
        <v>822</v>
      </c>
      <c r="C99" s="458"/>
      <c r="D99" s="195"/>
      <c r="E99" s="449" t="s">
        <v>70</v>
      </c>
      <c r="F99" s="199" t="str">
        <f>F69</f>
        <v>HANDL_PaidContr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194"/>
      <c r="B100" s="195" t="s">
        <v>821</v>
      </c>
      <c r="C100" s="460" t="str">
        <f>B98</f>
        <v>CheckProc0</v>
      </c>
      <c r="D100" s="195"/>
      <c r="E100" s="196" t="s">
        <v>201</v>
      </c>
      <c r="F100" s="698">
        <f>C72</f>
        <v>20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666</v>
      </c>
      <c r="C101" s="237"/>
      <c r="D101" s="211"/>
      <c r="E101" s="196" t="s">
        <v>201</v>
      </c>
      <c r="F101" s="266" t="s">
        <v>802</v>
      </c>
      <c r="G101" s="197"/>
      <c r="H101" s="197"/>
      <c r="I101" s="197"/>
      <c r="J101" s="198"/>
      <c r="K101" s="266" t="str">
        <f>F101</f>
        <v>NewOpp</v>
      </c>
      <c r="L101" s="200"/>
      <c r="M101" s="197"/>
      <c r="N101" s="200"/>
      <c r="O101" s="198"/>
    </row>
    <row r="102" spans="1:15" s="172" customFormat="1" x14ac:dyDescent="0.25">
      <c r="A102" s="194"/>
      <c r="B102" s="195" t="s">
        <v>666</v>
      </c>
      <c r="C102" s="237"/>
      <c r="D102" s="211"/>
      <c r="E102" s="196" t="s">
        <v>201</v>
      </c>
      <c r="F102" s="266" t="s">
        <v>792</v>
      </c>
      <c r="G102" s="197"/>
      <c r="H102" s="197"/>
      <c r="I102" s="197"/>
      <c r="J102" s="198"/>
      <c r="K102" s="266" t="str">
        <f>F102</f>
        <v>NewPayment</v>
      </c>
      <c r="L102" s="200"/>
      <c r="M102" s="197"/>
      <c r="N102" s="200"/>
      <c r="O102" s="198"/>
    </row>
    <row r="103" spans="1:15" s="172" customFormat="1" ht="15.75" thickBot="1" x14ac:dyDescent="0.3">
      <c r="A103" s="666"/>
      <c r="B103" s="667" t="s">
        <v>964</v>
      </c>
      <c r="C103" s="668" t="str">
        <f>B98</f>
        <v>CheckProc0</v>
      </c>
      <c r="D103" s="667"/>
      <c r="E103" s="669" t="s">
        <v>201</v>
      </c>
      <c r="F103" s="670" t="s">
        <v>820</v>
      </c>
      <c r="G103" s="684" t="s">
        <v>201</v>
      </c>
      <c r="H103" s="672"/>
      <c r="I103" s="672"/>
      <c r="J103" s="673"/>
      <c r="K103" s="674" t="str">
        <f>K96</f>
        <v>Платежи</v>
      </c>
      <c r="L103" s="675" t="str">
        <f>TOCmatch!B17</f>
        <v>SFacc</v>
      </c>
      <c r="M103" s="675" t="str">
        <f>TOCmatch!B16</f>
        <v>SFopp</v>
      </c>
      <c r="N103" s="675" t="str">
        <f>TOCmatch!B15</f>
        <v>SFD</v>
      </c>
      <c r="O103" s="673"/>
    </row>
    <row r="104" spans="1:15" s="172" customFormat="1" ht="15.75" thickTop="1" x14ac:dyDescent="0.25">
      <c r="A104" s="194"/>
      <c r="B104" s="201" t="s">
        <v>619</v>
      </c>
      <c r="C104" s="460" t="str">
        <f>B103</f>
        <v>WP_Paid</v>
      </c>
      <c r="D104" s="195"/>
      <c r="E104" s="196" t="s">
        <v>201</v>
      </c>
      <c r="F104" s="266" t="s">
        <v>802</v>
      </c>
      <c r="G104" s="200" t="s">
        <v>790</v>
      </c>
      <c r="H104" s="214" t="s">
        <v>868</v>
      </c>
      <c r="I104" s="214" t="s">
        <v>946</v>
      </c>
      <c r="J104" s="198"/>
      <c r="K104" s="266" t="str">
        <f>F104</f>
        <v>NewOpp</v>
      </c>
      <c r="L104" s="200"/>
      <c r="M104" s="197"/>
      <c r="N104" s="200"/>
      <c r="O104" s="198"/>
    </row>
    <row r="105" spans="1:15" s="172" customFormat="1" x14ac:dyDescent="0.25">
      <c r="A105" s="194"/>
      <c r="B105" s="201" t="s">
        <v>619</v>
      </c>
      <c r="C105" s="460" t="str">
        <f>B103</f>
        <v>WP_Paid</v>
      </c>
      <c r="D105" s="195"/>
      <c r="E105" s="196" t="s">
        <v>201</v>
      </c>
      <c r="F105" s="266" t="s">
        <v>792</v>
      </c>
      <c r="G105" s="200" t="s">
        <v>790</v>
      </c>
      <c r="H105" s="214" t="s">
        <v>797</v>
      </c>
      <c r="I105" s="214" t="s">
        <v>798</v>
      </c>
      <c r="J105" s="198"/>
      <c r="K105" s="266" t="str">
        <f>F105</f>
        <v>NewPayment</v>
      </c>
      <c r="L105" s="200"/>
      <c r="M105" s="197"/>
      <c r="N105" s="200"/>
      <c r="O105" s="198"/>
    </row>
    <row r="106" spans="1:15" s="173" customFormat="1" x14ac:dyDescent="0.25">
      <c r="A106" s="715"/>
      <c r="B106" s="201" t="s">
        <v>613</v>
      </c>
      <c r="C106" s="716">
        <v>0</v>
      </c>
      <c r="D106" s="201"/>
      <c r="E106" s="202" t="s">
        <v>201</v>
      </c>
      <c r="F106" s="506"/>
      <c r="G106" s="197"/>
      <c r="H106" s="197"/>
      <c r="I106" s="197"/>
      <c r="J106" s="198"/>
      <c r="K106" s="199"/>
      <c r="L106" s="200"/>
      <c r="M106" s="197"/>
      <c r="N106" s="200"/>
      <c r="O106" s="198"/>
    </row>
    <row r="107" spans="1:15" s="679" customFormat="1" ht="15.75" thickBot="1" x14ac:dyDescent="0.3">
      <c r="A107" s="713">
        <v>41201.045671296299</v>
      </c>
      <c r="B107" s="227" t="s">
        <v>612</v>
      </c>
      <c r="C107" s="714"/>
      <c r="D107" s="302"/>
      <c r="E107" s="676" t="s">
        <v>201</v>
      </c>
      <c r="F107" s="677" t="s">
        <v>959</v>
      </c>
      <c r="G107" s="302"/>
      <c r="H107" s="302"/>
      <c r="I107" s="302"/>
      <c r="J107" s="305"/>
      <c r="K107" s="678" t="str">
        <f>TOCmatch!B$8</f>
        <v>Платежи</v>
      </c>
      <c r="L107" s="307"/>
      <c r="M107" s="302"/>
      <c r="N107" s="307"/>
      <c r="O107" s="305"/>
    </row>
    <row r="108" spans="1:15" s="172" customFormat="1" ht="15.75" thickTop="1" x14ac:dyDescent="0.25">
      <c r="A108" s="263">
        <v>41218.822870370372</v>
      </c>
      <c r="B108" s="264" t="s">
        <v>666</v>
      </c>
      <c r="C108" s="265"/>
      <c r="D108" s="211"/>
      <c r="E108" s="196"/>
      <c r="F108" s="266" t="s">
        <v>914</v>
      </c>
      <c r="G108" s="197"/>
      <c r="H108" s="197"/>
      <c r="I108" s="197"/>
      <c r="J108" s="198"/>
      <c r="K108" s="266" t="str">
        <f>F108</f>
        <v>NewAcc</v>
      </c>
      <c r="L108" s="200"/>
      <c r="M108" s="197"/>
      <c r="N108" s="200"/>
      <c r="O108" s="198"/>
    </row>
    <row r="109" spans="1:15" s="172" customFormat="1" x14ac:dyDescent="0.25">
      <c r="A109" s="263"/>
      <c r="B109" s="264" t="s">
        <v>962</v>
      </c>
      <c r="C109" s="460" t="str">
        <f>B108</f>
        <v>NewSheet</v>
      </c>
      <c r="D109" s="211"/>
      <c r="E109" s="196"/>
      <c r="F109" s="682"/>
      <c r="G109" s="197"/>
      <c r="H109" s="197"/>
      <c r="I109" s="197"/>
      <c r="J109" s="198"/>
      <c r="K109" s="266"/>
      <c r="L109" s="200"/>
      <c r="M109" s="197"/>
      <c r="N109" s="200"/>
      <c r="O109" s="198"/>
    </row>
    <row r="110" spans="1:15" s="172" customFormat="1" x14ac:dyDescent="0.25">
      <c r="A110" s="194"/>
      <c r="B110" s="195" t="s">
        <v>617</v>
      </c>
      <c r="C110" s="235"/>
      <c r="D110" s="195"/>
      <c r="E110" s="196" t="s">
        <v>201</v>
      </c>
      <c r="F110" s="213" t="s">
        <v>579</v>
      </c>
      <c r="G110" s="220" t="s">
        <v>967</v>
      </c>
      <c r="H110" s="197"/>
      <c r="I110" s="197"/>
      <c r="J110" s="198"/>
      <c r="K110" s="199"/>
      <c r="L110" s="200"/>
      <c r="M110" s="197"/>
      <c r="N110" s="200"/>
      <c r="O110" s="198"/>
    </row>
    <row r="111" spans="1:15" s="172" customFormat="1" ht="15.75" thickBot="1" x14ac:dyDescent="0.3">
      <c r="A111" s="666">
        <v>41218.824293981481</v>
      </c>
      <c r="B111" s="667" t="s">
        <v>964</v>
      </c>
      <c r="C111" s="668" t="str">
        <f>B109</f>
        <v>SFaccDicBuild</v>
      </c>
      <c r="D111" s="667"/>
      <c r="E111" s="669" t="s">
        <v>201</v>
      </c>
      <c r="F111" s="670" t="s">
        <v>960</v>
      </c>
      <c r="G111" s="671"/>
      <c r="H111" s="672"/>
      <c r="I111" s="672"/>
      <c r="J111" s="673"/>
      <c r="K111" s="674" t="str">
        <f>K107</f>
        <v>Платежи</v>
      </c>
      <c r="L111" s="675">
        <f>TOCmatch!B28</f>
        <v>0</v>
      </c>
      <c r="M111" s="675">
        <f>TOCmatch!B27</f>
        <v>0</v>
      </c>
      <c r="N111" s="675">
        <f>TOCmatch!B26</f>
        <v>0</v>
      </c>
      <c r="O111" s="673"/>
    </row>
    <row r="112" spans="1:15" s="172" customFormat="1" ht="15.75" thickTop="1" x14ac:dyDescent="0.25">
      <c r="A112" s="194">
        <v>41218.824293981481</v>
      </c>
      <c r="B112" s="201" t="s">
        <v>619</v>
      </c>
      <c r="C112" s="460" t="str">
        <f>B111</f>
        <v>WP_Paid</v>
      </c>
      <c r="D112" s="195"/>
      <c r="E112" s="196" t="s">
        <v>201</v>
      </c>
      <c r="F112" s="266" t="str">
        <f>F108</f>
        <v>NewAcc</v>
      </c>
      <c r="G112" s="200" t="s">
        <v>790</v>
      </c>
      <c r="H112" s="214" t="s">
        <v>868</v>
      </c>
      <c r="I112" s="214" t="s">
        <v>946</v>
      </c>
      <c r="J112" s="198"/>
      <c r="K112" s="266" t="str">
        <f>F112</f>
        <v>NewAcc</v>
      </c>
      <c r="L112" s="200"/>
      <c r="M112" s="197"/>
      <c r="N112" s="200"/>
      <c r="O112" s="198"/>
    </row>
    <row r="113" spans="1:15" s="186" customFormat="1" x14ac:dyDescent="0.25">
      <c r="A113" s="203"/>
      <c r="B113" s="204" t="s">
        <v>613</v>
      </c>
      <c r="C113" s="236">
        <v>5</v>
      </c>
      <c r="D113" s="204"/>
      <c r="E113" s="205" t="s">
        <v>201</v>
      </c>
      <c r="F113" s="206"/>
      <c r="G113" s="207"/>
      <c r="H113" s="207"/>
      <c r="I113" s="207"/>
      <c r="J113" s="208"/>
      <c r="K113" s="209"/>
      <c r="L113" s="210"/>
      <c r="M113" s="207"/>
      <c r="N113" s="210"/>
      <c r="O113" s="208"/>
    </row>
    <row r="114" spans="1:15" s="172" customFormat="1" x14ac:dyDescent="0.25">
      <c r="A114" s="194"/>
      <c r="B114" s="195" t="s">
        <v>612</v>
      </c>
      <c r="C114" s="237"/>
      <c r="D114" s="211"/>
      <c r="E114" s="196" t="s">
        <v>201</v>
      </c>
      <c r="F114" s="212" t="s">
        <v>635</v>
      </c>
      <c r="G114" s="197"/>
      <c r="H114" s="197"/>
      <c r="I114" s="197"/>
      <c r="J114" s="198"/>
      <c r="K114" s="187" t="s">
        <v>550</v>
      </c>
      <c r="L114" s="200"/>
      <c r="M114" s="197"/>
      <c r="N114" s="200"/>
      <c r="O114" s="198"/>
    </row>
    <row r="115" spans="1:15" s="172" customFormat="1" x14ac:dyDescent="0.25">
      <c r="A115" s="216"/>
      <c r="B115" s="195" t="s">
        <v>617</v>
      </c>
      <c r="C115" s="235"/>
      <c r="D115" s="195"/>
      <c r="E115" s="196"/>
      <c r="F115" s="213" t="s">
        <v>70</v>
      </c>
      <c r="G115" s="220"/>
      <c r="H115" s="197"/>
      <c r="I115" s="197"/>
      <c r="J115" s="198"/>
      <c r="K115" s="199"/>
      <c r="L115" s="200"/>
      <c r="M115" s="197"/>
      <c r="N115" s="200"/>
      <c r="O115" s="198"/>
    </row>
    <row r="116" spans="1:15" ht="30" x14ac:dyDescent="0.25">
      <c r="A116" s="216"/>
      <c r="B116" s="201" t="s">
        <v>624</v>
      </c>
      <c r="C116" s="234" t="s">
        <v>652</v>
      </c>
      <c r="D116" s="5"/>
      <c r="E116" s="217" t="s">
        <v>201</v>
      </c>
      <c r="F116" s="199"/>
      <c r="G116" s="200"/>
      <c r="H116" s="214"/>
      <c r="I116" s="214"/>
      <c r="J116" s="221"/>
      <c r="K116" s="222" t="s">
        <v>550</v>
      </c>
      <c r="L116" s="214" t="s">
        <v>562</v>
      </c>
      <c r="M116" s="214"/>
      <c r="N116" s="214"/>
      <c r="O116" s="221"/>
    </row>
    <row r="117" spans="1:15" s="186" customFormat="1" x14ac:dyDescent="0.25">
      <c r="A117" s="203"/>
      <c r="B117" s="204" t="s">
        <v>613</v>
      </c>
      <c r="C117" s="236"/>
      <c r="D117" s="204"/>
      <c r="E117" s="205" t="s">
        <v>201</v>
      </c>
      <c r="F117" s="206"/>
      <c r="G117" s="207"/>
      <c r="H117" s="207"/>
      <c r="I117" s="207"/>
      <c r="J117" s="208"/>
      <c r="K117" s="209"/>
      <c r="L117" s="210"/>
      <c r="M117" s="207"/>
      <c r="N117" s="210"/>
      <c r="O117" s="208"/>
    </row>
    <row r="118" spans="1:15" s="135" customFormat="1" x14ac:dyDescent="0.25">
      <c r="A118" s="224"/>
      <c r="B118" s="225" t="s">
        <v>589</v>
      </c>
      <c r="C118" s="226" t="s">
        <v>126</v>
      </c>
      <c r="D118" s="227"/>
      <c r="E118" s="228"/>
      <c r="F118" s="229"/>
      <c r="G118" s="223"/>
      <c r="H118" s="223"/>
      <c r="I118" s="223"/>
      <c r="J118" s="230"/>
      <c r="K118" s="229" t="s">
        <v>588</v>
      </c>
      <c r="L118" s="223"/>
      <c r="M118" s="223"/>
      <c r="N118" s="223"/>
      <c r="O118" s="230"/>
    </row>
    <row r="119" spans="1:15" x14ac:dyDescent="0.25">
      <c r="A119" s="231"/>
      <c r="B119" s="232">
        <v>1043</v>
      </c>
      <c r="C119" s="233"/>
      <c r="D119" s="5"/>
      <c r="E119" s="196"/>
      <c r="F119" s="219"/>
      <c r="G119" s="214"/>
      <c r="H119" s="214"/>
      <c r="I119" s="214"/>
      <c r="J119" s="215"/>
      <c r="K119" s="219" t="s">
        <v>588</v>
      </c>
      <c r="L119" s="214"/>
      <c r="M119" s="214"/>
      <c r="N119" s="214"/>
      <c r="O119" s="215"/>
    </row>
    <row r="120" spans="1:15" s="135" customFormat="1" ht="15.75" thickBot="1" x14ac:dyDescent="0.3">
      <c r="A120" s="134"/>
      <c r="B120" s="155" t="s">
        <v>589</v>
      </c>
      <c r="C120" s="193" t="s">
        <v>126</v>
      </c>
      <c r="D120" s="156"/>
      <c r="E120" s="191"/>
      <c r="F120" s="175"/>
      <c r="G120" s="176"/>
      <c r="H120" s="176"/>
      <c r="I120" s="176"/>
      <c r="J120" s="177"/>
      <c r="K120" s="175" t="s">
        <v>595</v>
      </c>
      <c r="L120" s="176"/>
      <c r="M120" s="176"/>
      <c r="N120" s="176"/>
      <c r="O120" s="177"/>
    </row>
    <row r="121" spans="1:15" x14ac:dyDescent="0.25">
      <c r="A121" s="144"/>
    </row>
    <row r="122" spans="1:15" s="172" customFormat="1" x14ac:dyDescent="0.25">
      <c r="A122" s="194"/>
      <c r="B122" s="195" t="s">
        <v>617</v>
      </c>
      <c r="C122" s="235"/>
      <c r="D122" s="195"/>
      <c r="E122" s="196" t="s">
        <v>201</v>
      </c>
      <c r="F122" s="213" t="s">
        <v>579</v>
      </c>
      <c r="G122" s="220" t="s">
        <v>967</v>
      </c>
      <c r="H122" s="197"/>
      <c r="I122" s="197"/>
      <c r="J122" s="198"/>
      <c r="K122" s="199"/>
      <c r="L122" s="200"/>
      <c r="M122" s="197"/>
      <c r="N122" s="200"/>
      <c r="O122" s="198"/>
    </row>
    <row r="124" spans="1:15" ht="45" outlineLevel="1" x14ac:dyDescent="0.25">
      <c r="A124" s="194">
        <v>41217.705717592595</v>
      </c>
      <c r="B124" s="195" t="s">
        <v>640</v>
      </c>
      <c r="C124" s="234" t="s">
        <v>639</v>
      </c>
      <c r="D124" s="214"/>
      <c r="E124" s="217" t="s">
        <v>201</v>
      </c>
      <c r="F124" s="213" t="s">
        <v>560</v>
      </c>
      <c r="G124" s="200" t="s">
        <v>555</v>
      </c>
      <c r="H124" s="220" t="s">
        <v>94</v>
      </c>
      <c r="I124" s="220" t="s">
        <v>128</v>
      </c>
      <c r="J124" s="221"/>
      <c r="L124" s="300" t="str">
        <f>TOCmatch!B$15</f>
        <v>SFD</v>
      </c>
      <c r="M124" s="214"/>
      <c r="N124" s="214"/>
      <c r="O124" s="221"/>
    </row>
    <row r="127" spans="1:15" s="148" customFormat="1" outlineLevel="1" x14ac:dyDescent="0.25">
      <c r="A127" s="194">
        <v>41217.684374999997</v>
      </c>
      <c r="B127" s="195" t="s">
        <v>594</v>
      </c>
      <c r="C127" s="234" t="s">
        <v>592</v>
      </c>
      <c r="D127" s="195"/>
      <c r="E127" s="196" t="s">
        <v>201</v>
      </c>
      <c r="F127" s="424" t="s">
        <v>766</v>
      </c>
      <c r="G127" s="425" t="s">
        <v>767</v>
      </c>
      <c r="H127" s="197"/>
      <c r="I127" s="197"/>
      <c r="J127" s="215"/>
      <c r="K127" s="199">
        <f>TOCmatch!B100</f>
        <v>0</v>
      </c>
      <c r="L127" s="300" t="str">
        <f>TOCmatch!B$17</f>
        <v>SFacc</v>
      </c>
      <c r="M127" s="300" t="str">
        <f>TOCmatch!B$15</f>
        <v>SFD</v>
      </c>
      <c r="N127" s="214"/>
      <c r="O127" s="215"/>
    </row>
    <row r="130" spans="1:15" s="148" customFormat="1" outlineLevel="1" x14ac:dyDescent="0.25">
      <c r="A130" s="194">
        <v>41227.065937500003</v>
      </c>
      <c r="B130" s="195" t="s">
        <v>845</v>
      </c>
      <c r="C130" s="654" t="str">
        <f>B50</f>
        <v>InsMyCol</v>
      </c>
      <c r="D130" s="195"/>
      <c r="E130" s="196" t="s">
        <v>201</v>
      </c>
      <c r="F130" s="213" t="s">
        <v>128</v>
      </c>
      <c r="G130" s="220" t="s">
        <v>91</v>
      </c>
      <c r="H130" s="220" t="s">
        <v>110</v>
      </c>
      <c r="I130" s="220" t="s">
        <v>795</v>
      </c>
      <c r="J130" s="544"/>
      <c r="K130" s="546" t="str">
        <f>K48</f>
        <v>Склад</v>
      </c>
      <c r="L130" s="200" t="str">
        <f>TOCmatch!B8</f>
        <v>Платежи</v>
      </c>
      <c r="M130" s="214"/>
      <c r="N130" s="172"/>
      <c r="O130" s="198"/>
    </row>
  </sheetData>
  <autoFilter ref="A4:O120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workbookViewId="0">
      <selection activeCell="D12" sqref="D12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1051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1134</v>
      </c>
      <c r="B8" s="66"/>
    </row>
    <row r="9" spans="1:7" x14ac:dyDescent="0.25">
      <c r="A9" s="18" t="s">
        <v>1130</v>
      </c>
      <c r="B9" s="65" t="s">
        <v>1135</v>
      </c>
    </row>
    <row r="10" spans="1:7" x14ac:dyDescent="0.25">
      <c r="A10" s="750" t="s">
        <v>1136</v>
      </c>
      <c r="B10" s="24" t="s">
        <v>1141</v>
      </c>
    </row>
    <row r="11" spans="1:7" x14ac:dyDescent="0.25">
      <c r="A11" s="750" t="s">
        <v>1137</v>
      </c>
      <c r="B11" s="24" t="s">
        <v>1142</v>
      </c>
    </row>
    <row r="12" spans="1:7" x14ac:dyDescent="0.25">
      <c r="A12" s="750" t="s">
        <v>1138</v>
      </c>
      <c r="B12" s="24" t="s">
        <v>1141</v>
      </c>
    </row>
    <row r="13" spans="1:7" x14ac:dyDescent="0.25">
      <c r="A13" s="21" t="s">
        <v>1139</v>
      </c>
      <c r="B13" s="25" t="s">
        <v>1143</v>
      </c>
    </row>
    <row r="14" spans="1:7" x14ac:dyDescent="0.25">
      <c r="A14" s="21" t="s">
        <v>1140</v>
      </c>
      <c r="B14" s="25" t="s">
        <v>1144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1006</v>
      </c>
      <c r="B24" s="68" t="s">
        <v>1005</v>
      </c>
      <c r="C24" s="719" t="s">
        <v>1007</v>
      </c>
      <c r="D24" s="27" t="s">
        <v>1008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1010</v>
      </c>
      <c r="B35" s="68" t="s">
        <v>1009</v>
      </c>
      <c r="C35" s="719" t="s">
        <v>1007</v>
      </c>
      <c r="D35" s="27" t="s">
        <v>1008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48" t="s">
        <v>354</v>
      </c>
      <c r="I49" s="849"/>
      <c r="J49" s="849"/>
      <c r="K49" s="842"/>
      <c r="L49" s="27"/>
    </row>
    <row r="50" spans="1:17" ht="15.75" x14ac:dyDescent="0.25">
      <c r="A50" s="27" t="s">
        <v>1021</v>
      </c>
      <c r="H50" s="722"/>
      <c r="I50" s="723"/>
      <c r="J50" s="723"/>
      <c r="K50" s="721"/>
      <c r="L50" s="27"/>
      <c r="M50" s="850" t="s">
        <v>354</v>
      </c>
      <c r="N50" s="851"/>
      <c r="O50" s="851"/>
      <c r="P50" s="851"/>
      <c r="Q50" s="852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938</v>
      </c>
      <c r="K51" s="647" t="s">
        <v>937</v>
      </c>
      <c r="M51" s="736" t="s">
        <v>1025</v>
      </c>
      <c r="N51" s="734" t="s">
        <v>350</v>
      </c>
      <c r="O51" s="734" t="s">
        <v>1024</v>
      </c>
      <c r="P51" s="734" t="s">
        <v>938</v>
      </c>
      <c r="Q51" s="735" t="s">
        <v>937</v>
      </c>
    </row>
    <row r="52" spans="1:17" ht="15.75" x14ac:dyDescent="0.3">
      <c r="A52" s="27" t="s">
        <v>137</v>
      </c>
      <c r="B52" s="70" t="s">
        <v>994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1023</v>
      </c>
      <c r="N52" s="27" t="s">
        <v>349</v>
      </c>
      <c r="O52" s="27" t="s">
        <v>1024</v>
      </c>
      <c r="P52" s="27" t="s">
        <v>1047</v>
      </c>
    </row>
    <row r="53" spans="1:17" ht="45" x14ac:dyDescent="0.3">
      <c r="A53" s="27" t="s">
        <v>106</v>
      </c>
      <c r="B53" s="70" t="s">
        <v>993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1031</v>
      </c>
      <c r="N53" s="747" t="s">
        <v>1045</v>
      </c>
      <c r="O53" s="747"/>
      <c r="P53" s="747" t="s">
        <v>1046</v>
      </c>
    </row>
    <row r="54" spans="1:17" ht="15.75" x14ac:dyDescent="0.3">
      <c r="A54" s="27" t="s">
        <v>18</v>
      </c>
      <c r="B54" s="70" t="s">
        <v>1098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1035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1044</v>
      </c>
    </row>
    <row r="56" spans="1:17" ht="15.75" x14ac:dyDescent="0.3">
      <c r="A56" s="27" t="s">
        <v>144</v>
      </c>
      <c r="B56" s="70" t="s">
        <v>1012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1004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1050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940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1064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1004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1004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1067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941</v>
      </c>
      <c r="M60" s="747" t="s">
        <v>1026</v>
      </c>
      <c r="N60" s="748"/>
      <c r="O60" s="748"/>
      <c r="P60" s="747" t="s">
        <v>1029</v>
      </c>
    </row>
    <row r="61" spans="1:17" ht="15.75" x14ac:dyDescent="0.3">
      <c r="A61" s="27" t="s">
        <v>938</v>
      </c>
      <c r="B61" s="70" t="s">
        <v>1088</v>
      </c>
      <c r="C61" s="50" t="s">
        <v>1000</v>
      </c>
      <c r="D61" s="49"/>
      <c r="E61" s="48"/>
      <c r="F61" s="44"/>
      <c r="G61" s="56"/>
      <c r="H61" s="27"/>
      <c r="I61" s="27"/>
      <c r="J61" s="27"/>
      <c r="K61" s="27" t="s">
        <v>940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1089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1004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1004</v>
      </c>
      <c r="H64" s="27" t="s">
        <v>350</v>
      </c>
      <c r="I64" s="27" t="s">
        <v>351</v>
      </c>
      <c r="J64" s="27"/>
      <c r="M64" s="747" t="s">
        <v>1049</v>
      </c>
      <c r="N64" s="747" t="s">
        <v>1048</v>
      </c>
      <c r="O64" s="748"/>
      <c r="P64" s="748"/>
    </row>
    <row r="65" spans="1:17" x14ac:dyDescent="0.25">
      <c r="A65" s="55" t="s">
        <v>247</v>
      </c>
      <c r="B65" s="70" t="s">
        <v>1001</v>
      </c>
      <c r="C65" s="50"/>
      <c r="D65" s="28"/>
      <c r="E65" s="48"/>
      <c r="F65" s="44"/>
      <c r="M65" s="747" t="s">
        <v>1038</v>
      </c>
      <c r="N65" s="747" t="s">
        <v>1038</v>
      </c>
      <c r="O65" s="748"/>
      <c r="P65" s="747" t="s">
        <v>1038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997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942</v>
      </c>
      <c r="C71" s="28"/>
      <c r="D71" s="50"/>
      <c r="F71" s="44"/>
      <c r="Q71" s="27" t="s">
        <v>1037</v>
      </c>
    </row>
    <row r="72" spans="1:17" x14ac:dyDescent="0.25">
      <c r="A72" s="27" t="s">
        <v>940</v>
      </c>
      <c r="B72" s="67" t="s">
        <v>943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944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938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941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557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41398</v>
      </c>
      <c r="C1" s="58" t="s">
        <v>215</v>
      </c>
      <c r="D1" s="40">
        <v>2557</v>
      </c>
    </row>
    <row r="2" spans="1:4" x14ac:dyDescent="0.25">
      <c r="A2" s="36">
        <v>41399</v>
      </c>
      <c r="B2" s="121">
        <v>0.45664351851851853</v>
      </c>
      <c r="C2" s="26" t="s">
        <v>1159</v>
      </c>
    </row>
    <row r="3" spans="1:4" x14ac:dyDescent="0.25">
      <c r="A3" s="36">
        <v>41399</v>
      </c>
      <c r="B3" s="121">
        <v>0.53920138888888891</v>
      </c>
      <c r="C3" s="26" t="s">
        <v>1160</v>
      </c>
    </row>
    <row r="4" spans="1:4" x14ac:dyDescent="0.25">
      <c r="A4" s="36">
        <v>41399</v>
      </c>
      <c r="B4" s="121">
        <v>0.60442129629629626</v>
      </c>
      <c r="C4" s="26" t="s">
        <v>1161</v>
      </c>
    </row>
    <row r="5" spans="1:4" x14ac:dyDescent="0.25">
      <c r="A5" s="36">
        <v>41399</v>
      </c>
      <c r="B5" s="121">
        <v>0.62013888888888891</v>
      </c>
      <c r="C5" s="26" t="s">
        <v>1162</v>
      </c>
    </row>
    <row r="6" spans="1:4" x14ac:dyDescent="0.25">
      <c r="A6" s="36">
        <v>41399</v>
      </c>
      <c r="B6" s="121">
        <v>0.6248379629629629</v>
      </c>
      <c r="C6" s="26" t="s">
        <v>1163</v>
      </c>
    </row>
    <row r="7" spans="1:4" x14ac:dyDescent="0.25">
      <c r="A7" s="36">
        <v>41399</v>
      </c>
      <c r="B7" s="121">
        <v>0.65200231481481474</v>
      </c>
      <c r="C7" s="26" t="s">
        <v>1166</v>
      </c>
    </row>
    <row r="8" spans="1:4" ht="45" x14ac:dyDescent="0.25">
      <c r="A8" s="36">
        <v>41399</v>
      </c>
      <c r="B8" s="121">
        <v>0.69309027777777776</v>
      </c>
      <c r="C8" s="831" t="s">
        <v>1169</v>
      </c>
    </row>
    <row r="9" spans="1:4" x14ac:dyDescent="0.25">
      <c r="A9" s="36">
        <v>41399</v>
      </c>
      <c r="B9" s="121">
        <v>0.69373842592592594</v>
      </c>
      <c r="C9" s="26" t="s">
        <v>1170</v>
      </c>
    </row>
    <row r="10" spans="1:4" x14ac:dyDescent="0.25">
      <c r="A10" s="36">
        <v>41399</v>
      </c>
      <c r="B10" s="121">
        <v>0.69822916666666668</v>
      </c>
      <c r="C10" s="26" t="s">
        <v>1170</v>
      </c>
    </row>
    <row r="11" spans="1:4" x14ac:dyDescent="0.25">
      <c r="A11" s="36">
        <v>41399</v>
      </c>
      <c r="B11" s="121">
        <v>0.70775462962962965</v>
      </c>
      <c r="C11" s="26" t="s">
        <v>1171</v>
      </c>
    </row>
    <row r="12" spans="1:4" ht="45" x14ac:dyDescent="0.25">
      <c r="A12" s="36">
        <v>41399</v>
      </c>
      <c r="B12" s="121">
        <v>0.71197916666666661</v>
      </c>
      <c r="C12" s="831" t="s">
        <v>1172</v>
      </c>
    </row>
    <row r="13" spans="1:4" x14ac:dyDescent="0.25">
      <c r="A13" s="36">
        <v>41399</v>
      </c>
      <c r="B13" s="121">
        <v>0.71725694444444443</v>
      </c>
      <c r="C13" s="26" t="s">
        <v>1173</v>
      </c>
    </row>
    <row r="14" spans="1:4" ht="45" x14ac:dyDescent="0.25">
      <c r="A14" s="36">
        <v>41399</v>
      </c>
      <c r="B14" s="121">
        <v>0.71781249999999996</v>
      </c>
      <c r="C14" s="831" t="s">
        <v>1174</v>
      </c>
    </row>
    <row r="15" spans="1:4" ht="60" x14ac:dyDescent="0.25">
      <c r="A15" s="36">
        <v>41401</v>
      </c>
      <c r="B15" s="121">
        <v>6.3287037037037031E-2</v>
      </c>
      <c r="C15" s="831" t="s">
        <v>1175</v>
      </c>
    </row>
    <row r="16" spans="1:4" ht="60" x14ac:dyDescent="0.25">
      <c r="A16" s="36">
        <v>41401</v>
      </c>
      <c r="B16" s="121">
        <v>6.3553240740740743E-2</v>
      </c>
      <c r="C16" s="831" t="s">
        <v>1175</v>
      </c>
    </row>
    <row r="17" spans="1:3" x14ac:dyDescent="0.25">
      <c r="A17" s="36">
        <v>41401</v>
      </c>
      <c r="B17" s="121">
        <v>6.5104166666666671E-2</v>
      </c>
      <c r="C17" s="26" t="s">
        <v>1176</v>
      </c>
    </row>
    <row r="18" spans="1:3" ht="45" x14ac:dyDescent="0.25">
      <c r="A18" s="36">
        <v>41401</v>
      </c>
      <c r="B18" s="121">
        <v>6.5856481481481488E-2</v>
      </c>
      <c r="C18" s="831" t="s">
        <v>1177</v>
      </c>
    </row>
    <row r="19" spans="1:3" x14ac:dyDescent="0.25">
      <c r="A19" s="36">
        <v>41401</v>
      </c>
      <c r="B19" s="121">
        <v>7.4606481481481482E-2</v>
      </c>
      <c r="C19" s="26" t="s">
        <v>1178</v>
      </c>
    </row>
    <row r="20" spans="1:3" x14ac:dyDescent="0.25">
      <c r="A20" s="36">
        <v>41401</v>
      </c>
      <c r="B20" s="121">
        <v>7.4745370370370365E-2</v>
      </c>
      <c r="C20" s="26" t="s">
        <v>1179</v>
      </c>
    </row>
    <row r="21" spans="1:3" x14ac:dyDescent="0.25">
      <c r="A21" s="36">
        <v>41401</v>
      </c>
      <c r="B21" s="121">
        <v>7.6018518518518527E-2</v>
      </c>
      <c r="C21" s="26" t="s">
        <v>1178</v>
      </c>
    </row>
    <row r="22" spans="1:3" x14ac:dyDescent="0.25">
      <c r="A22" s="36">
        <v>41401</v>
      </c>
      <c r="B22" s="121">
        <v>7.6168981481481476E-2</v>
      </c>
      <c r="C22" s="26" t="s">
        <v>1179</v>
      </c>
    </row>
    <row r="23" spans="1:3" x14ac:dyDescent="0.25">
      <c r="A23" s="36">
        <v>41401</v>
      </c>
      <c r="B23" s="121">
        <v>9.8599537037037041E-2</v>
      </c>
      <c r="C23" s="26" t="s">
        <v>1180</v>
      </c>
    </row>
    <row r="24" spans="1:3" x14ac:dyDescent="0.25">
      <c r="A24" s="36">
        <v>41401</v>
      </c>
      <c r="B24" s="121">
        <v>0.10483796296296295</v>
      </c>
      <c r="C24" s="26" t="s">
        <v>1178</v>
      </c>
    </row>
    <row r="25" spans="1:3" x14ac:dyDescent="0.25">
      <c r="A25" s="36">
        <v>41401</v>
      </c>
      <c r="B25" s="121">
        <v>0.105</v>
      </c>
      <c r="C25" s="26" t="s">
        <v>1181</v>
      </c>
    </row>
    <row r="26" spans="1:3" x14ac:dyDescent="0.25">
      <c r="A26" s="36">
        <v>41401</v>
      </c>
      <c r="B26" s="121">
        <v>0.52673611111111118</v>
      </c>
      <c r="C26" s="26" t="s">
        <v>1182</v>
      </c>
    </row>
    <row r="27" spans="1:3" x14ac:dyDescent="0.25">
      <c r="A27" s="36">
        <v>41401</v>
      </c>
      <c r="B27" s="121">
        <v>0.55690972222222224</v>
      </c>
      <c r="C27" s="26" t="s">
        <v>1183</v>
      </c>
    </row>
    <row r="28" spans="1:3" x14ac:dyDescent="0.25">
      <c r="A28" s="36">
        <v>41401</v>
      </c>
      <c r="B28" s="121">
        <v>0.68530092592592595</v>
      </c>
      <c r="C28" s="26" t="s">
        <v>1184</v>
      </c>
    </row>
    <row r="29" spans="1:3" x14ac:dyDescent="0.25">
      <c r="A29" s="36">
        <v>41402</v>
      </c>
      <c r="B29" s="121">
        <v>0.61458333333333337</v>
      </c>
      <c r="C29" s="26" t="s">
        <v>1185</v>
      </c>
    </row>
    <row r="30" spans="1:3" x14ac:dyDescent="0.25">
      <c r="A30" s="36">
        <v>41402</v>
      </c>
      <c r="B30" s="121">
        <v>0.63364583333333335</v>
      </c>
      <c r="C30" s="26" t="s">
        <v>1186</v>
      </c>
    </row>
    <row r="31" spans="1:3" x14ac:dyDescent="0.25">
      <c r="A31" s="36">
        <v>41402</v>
      </c>
      <c r="B31" s="121">
        <v>0.63766203703703705</v>
      </c>
      <c r="C31" s="26" t="s">
        <v>1187</v>
      </c>
    </row>
    <row r="32" spans="1:3" x14ac:dyDescent="0.25">
      <c r="A32" s="36">
        <v>41402</v>
      </c>
      <c r="B32" s="121">
        <v>0.65077546296296296</v>
      </c>
      <c r="C32" s="26" t="s">
        <v>1188</v>
      </c>
    </row>
    <row r="33" spans="1:3" x14ac:dyDescent="0.25">
      <c r="A33" s="36">
        <v>41402</v>
      </c>
      <c r="B33" s="121">
        <v>0.70674768518518516</v>
      </c>
      <c r="C33" s="26" t="s">
        <v>1189</v>
      </c>
    </row>
    <row r="34" spans="1:3" ht="45" x14ac:dyDescent="0.25">
      <c r="A34" s="36">
        <v>41402</v>
      </c>
      <c r="B34" s="121">
        <v>0.70721064814814805</v>
      </c>
      <c r="C34" s="831" t="s">
        <v>1190</v>
      </c>
    </row>
    <row r="35" spans="1:3" x14ac:dyDescent="0.25">
      <c r="A35" s="36">
        <v>41402</v>
      </c>
      <c r="B35" s="121">
        <v>0.70775462962962965</v>
      </c>
      <c r="C35" s="26" t="s">
        <v>1191</v>
      </c>
    </row>
    <row r="36" spans="1:3" ht="45" x14ac:dyDescent="0.25">
      <c r="A36" s="36">
        <v>41402</v>
      </c>
      <c r="B36" s="121">
        <v>0.70886574074074071</v>
      </c>
      <c r="C36" s="831" t="s">
        <v>1192</v>
      </c>
    </row>
    <row r="37" spans="1:3" x14ac:dyDescent="0.25">
      <c r="A37" s="36">
        <v>41402</v>
      </c>
      <c r="B37" s="121">
        <v>0.7112384259259259</v>
      </c>
      <c r="C37" s="26" t="s">
        <v>1193</v>
      </c>
    </row>
    <row r="38" spans="1:3" x14ac:dyDescent="0.25">
      <c r="A38" s="36">
        <v>41402</v>
      </c>
      <c r="B38" s="121">
        <v>0.7114583333333333</v>
      </c>
      <c r="C38" s="26" t="s">
        <v>1194</v>
      </c>
    </row>
    <row r="39" spans="1:3" x14ac:dyDescent="0.25">
      <c r="A39" s="36">
        <v>41402</v>
      </c>
      <c r="B39" s="121">
        <v>0.71179398148148154</v>
      </c>
      <c r="C39" s="26" t="s">
        <v>1195</v>
      </c>
    </row>
    <row r="40" spans="1:3" x14ac:dyDescent="0.25">
      <c r="A40" s="36">
        <v>41402</v>
      </c>
      <c r="B40" s="121">
        <v>0.71203703703703702</v>
      </c>
      <c r="C40" s="26" t="s">
        <v>1196</v>
      </c>
    </row>
    <row r="41" spans="1:3" ht="30" x14ac:dyDescent="0.25">
      <c r="A41" s="36">
        <v>41402</v>
      </c>
      <c r="B41" s="121">
        <v>0.71209490740740744</v>
      </c>
      <c r="C41" s="831" t="s">
        <v>1197</v>
      </c>
    </row>
    <row r="42" spans="1:3" ht="45" x14ac:dyDescent="0.25">
      <c r="A42" s="36">
        <v>41402</v>
      </c>
      <c r="B42" s="121">
        <v>0.71218750000000008</v>
      </c>
      <c r="C42" s="831" t="s">
        <v>1198</v>
      </c>
    </row>
    <row r="43" spans="1:3" x14ac:dyDescent="0.25">
      <c r="A43" s="36">
        <v>41402</v>
      </c>
      <c r="B43" s="121">
        <v>0.71348379629629621</v>
      </c>
      <c r="C43" s="26" t="s">
        <v>1199</v>
      </c>
    </row>
    <row r="44" spans="1:3" x14ac:dyDescent="0.25">
      <c r="A44" s="36">
        <v>41402</v>
      </c>
      <c r="B44" s="121">
        <v>0.71425925925925926</v>
      </c>
      <c r="C44" s="26" t="s">
        <v>1200</v>
      </c>
    </row>
    <row r="45" spans="1:3" ht="45" x14ac:dyDescent="0.25">
      <c r="A45" s="36">
        <v>41402</v>
      </c>
      <c r="B45" s="121">
        <v>0.71569444444444441</v>
      </c>
      <c r="C45" s="831" t="s">
        <v>1201</v>
      </c>
    </row>
    <row r="46" spans="1:3" ht="45" x14ac:dyDescent="0.25">
      <c r="A46" s="36">
        <v>41402</v>
      </c>
      <c r="B46" s="121">
        <v>0.71598379629629638</v>
      </c>
      <c r="C46" s="831" t="s">
        <v>1202</v>
      </c>
    </row>
    <row r="47" spans="1:3" ht="30" x14ac:dyDescent="0.25">
      <c r="A47" s="36">
        <v>41402</v>
      </c>
      <c r="B47" s="121">
        <v>0.71605324074074073</v>
      </c>
      <c r="C47" s="831" t="s">
        <v>1203</v>
      </c>
    </row>
    <row r="48" spans="1:3" x14ac:dyDescent="0.25">
      <c r="A48" s="36">
        <v>41402</v>
      </c>
      <c r="B48" s="121">
        <v>0.71677083333333336</v>
      </c>
      <c r="C48" s="26" t="s">
        <v>1204</v>
      </c>
    </row>
    <row r="49" spans="1:3" ht="30" x14ac:dyDescent="0.25">
      <c r="A49" s="36">
        <v>41402</v>
      </c>
      <c r="B49" s="121">
        <v>0.7171643518518519</v>
      </c>
      <c r="C49" s="831" t="s">
        <v>1205</v>
      </c>
    </row>
    <row r="50" spans="1:3" ht="45" x14ac:dyDescent="0.25">
      <c r="A50" s="36">
        <v>41402</v>
      </c>
      <c r="B50" s="121">
        <v>0.71866898148148151</v>
      </c>
      <c r="C50" s="831" t="s">
        <v>1206</v>
      </c>
    </row>
    <row r="51" spans="1:3" x14ac:dyDescent="0.25">
      <c r="A51" s="36">
        <v>41402</v>
      </c>
      <c r="B51" s="121">
        <v>0.72069444444444442</v>
      </c>
      <c r="C51" s="26" t="s">
        <v>1207</v>
      </c>
    </row>
    <row r="52" spans="1:3" x14ac:dyDescent="0.25">
      <c r="A52" s="36">
        <v>41402</v>
      </c>
      <c r="B52" s="121">
        <v>0.72099537037037031</v>
      </c>
      <c r="C52" s="26" t="s">
        <v>1208</v>
      </c>
    </row>
    <row r="53" spans="1:3" x14ac:dyDescent="0.25">
      <c r="A53" s="36">
        <v>41402</v>
      </c>
      <c r="B53" s="121">
        <v>0.72193287037037035</v>
      </c>
      <c r="C53" s="26" t="s">
        <v>1209</v>
      </c>
    </row>
    <row r="54" spans="1:3" ht="45" x14ac:dyDescent="0.25">
      <c r="A54" s="36">
        <v>41402</v>
      </c>
      <c r="B54" s="121">
        <v>0.72344907407407411</v>
      </c>
      <c r="C54" s="831" t="s">
        <v>1210</v>
      </c>
    </row>
    <row r="55" spans="1:3" x14ac:dyDescent="0.25">
      <c r="A55" s="36">
        <v>41402</v>
      </c>
      <c r="B55" s="121">
        <v>0.72452546296296294</v>
      </c>
      <c r="C55" s="26" t="s">
        <v>1211</v>
      </c>
    </row>
    <row r="56" spans="1:3" ht="45" x14ac:dyDescent="0.25">
      <c r="A56" s="36">
        <v>41402</v>
      </c>
      <c r="B56" s="121">
        <v>0.72468749999999993</v>
      </c>
      <c r="C56" s="831" t="s">
        <v>1212</v>
      </c>
    </row>
    <row r="57" spans="1:3" x14ac:dyDescent="0.25">
      <c r="A57" s="36">
        <v>41402</v>
      </c>
      <c r="B57" s="121">
        <v>0.72525462962962972</v>
      </c>
      <c r="C57" s="26" t="s">
        <v>1213</v>
      </c>
    </row>
    <row r="58" spans="1:3" x14ac:dyDescent="0.25">
      <c r="A58" s="36">
        <v>41402</v>
      </c>
      <c r="B58" s="121">
        <v>0.72525462962962972</v>
      </c>
      <c r="C58" s="26" t="s">
        <v>1214</v>
      </c>
    </row>
    <row r="59" spans="1:3" x14ac:dyDescent="0.25">
      <c r="A59" s="36">
        <v>41402</v>
      </c>
      <c r="B59" s="121">
        <v>0.72525462962962972</v>
      </c>
      <c r="C59" s="26" t="s">
        <v>1215</v>
      </c>
    </row>
    <row r="60" spans="1:3" x14ac:dyDescent="0.25">
      <c r="A60" s="36">
        <v>41402</v>
      </c>
      <c r="B60" s="121">
        <v>0.72525462962962972</v>
      </c>
      <c r="C60" s="26" t="s">
        <v>1214</v>
      </c>
    </row>
    <row r="61" spans="1:3" x14ac:dyDescent="0.25">
      <c r="A61" s="36">
        <v>41402</v>
      </c>
      <c r="B61" s="121">
        <v>0.72525462962962972</v>
      </c>
      <c r="C61" s="26" t="s">
        <v>1216</v>
      </c>
    </row>
    <row r="62" spans="1:3" x14ac:dyDescent="0.25">
      <c r="A62" s="36">
        <v>41402</v>
      </c>
      <c r="B62" s="121">
        <v>0.72525462962962972</v>
      </c>
      <c r="C62" s="26" t="s">
        <v>1216</v>
      </c>
    </row>
    <row r="63" spans="1:3" x14ac:dyDescent="0.25">
      <c r="A63" s="36">
        <v>41402</v>
      </c>
      <c r="B63" s="121">
        <v>0.72525462962962972</v>
      </c>
      <c r="C63" s="26" t="s">
        <v>1217</v>
      </c>
    </row>
    <row r="64" spans="1:3" x14ac:dyDescent="0.25">
      <c r="A64" s="36">
        <v>41402</v>
      </c>
      <c r="B64" s="121">
        <v>0.72525462962962972</v>
      </c>
      <c r="C64" s="26" t="s">
        <v>1218</v>
      </c>
    </row>
    <row r="65" spans="1:3" x14ac:dyDescent="0.25">
      <c r="A65" s="36">
        <v>41402</v>
      </c>
      <c r="B65" s="121">
        <v>0.72525462962962972</v>
      </c>
      <c r="C65" s="26" t="s">
        <v>1219</v>
      </c>
    </row>
    <row r="66" spans="1:3" x14ac:dyDescent="0.25">
      <c r="A66" s="36">
        <v>41402</v>
      </c>
      <c r="B66" s="121">
        <v>0.72525462962962972</v>
      </c>
      <c r="C66" s="26" t="s">
        <v>1220</v>
      </c>
    </row>
    <row r="67" spans="1:3" x14ac:dyDescent="0.25">
      <c r="A67" s="36">
        <v>41402</v>
      </c>
      <c r="B67" s="121">
        <v>0.72525462962962972</v>
      </c>
      <c r="C67" s="26" t="s">
        <v>1221</v>
      </c>
    </row>
    <row r="68" spans="1:3" x14ac:dyDescent="0.25">
      <c r="A68" s="36">
        <v>41402</v>
      </c>
      <c r="B68" s="121">
        <v>0.72525462962962972</v>
      </c>
      <c r="C68" s="26" t="s">
        <v>1222</v>
      </c>
    </row>
    <row r="69" spans="1:3" x14ac:dyDescent="0.25">
      <c r="A69" s="36">
        <v>41402</v>
      </c>
      <c r="B69" s="121">
        <v>0.72525462962962972</v>
      </c>
      <c r="C69" s="26" t="s">
        <v>1214</v>
      </c>
    </row>
    <row r="70" spans="1:3" x14ac:dyDescent="0.25">
      <c r="A70" s="36">
        <v>41402</v>
      </c>
      <c r="B70" s="121">
        <v>0.72525462962962972</v>
      </c>
      <c r="C70" s="26" t="s">
        <v>1223</v>
      </c>
    </row>
    <row r="71" spans="1:3" x14ac:dyDescent="0.25">
      <c r="A71" s="36">
        <v>41402</v>
      </c>
      <c r="B71" s="121">
        <v>0.72525462962962972</v>
      </c>
      <c r="C71" s="26" t="s">
        <v>1223</v>
      </c>
    </row>
    <row r="72" spans="1:3" x14ac:dyDescent="0.25">
      <c r="A72" s="36">
        <v>41402</v>
      </c>
      <c r="B72" s="121">
        <v>0.72525462962962972</v>
      </c>
      <c r="C72" s="26" t="s">
        <v>1224</v>
      </c>
    </row>
    <row r="73" spans="1:3" x14ac:dyDescent="0.25">
      <c r="A73" s="36">
        <v>41402</v>
      </c>
      <c r="B73" s="121">
        <v>0.72525462962962972</v>
      </c>
      <c r="C73" s="26" t="s">
        <v>1219</v>
      </c>
    </row>
    <row r="74" spans="1:3" x14ac:dyDescent="0.25">
      <c r="A74" s="36">
        <v>41402</v>
      </c>
      <c r="B74" s="121">
        <v>0.72525462962962972</v>
      </c>
      <c r="C74" s="26" t="s">
        <v>1219</v>
      </c>
    </row>
    <row r="75" spans="1:3" x14ac:dyDescent="0.25">
      <c r="A75" s="36">
        <v>41402</v>
      </c>
      <c r="B75" s="121">
        <v>0.72525462962962972</v>
      </c>
      <c r="C75" s="26" t="s">
        <v>1225</v>
      </c>
    </row>
    <row r="76" spans="1:3" x14ac:dyDescent="0.25">
      <c r="A76" s="36">
        <v>41402</v>
      </c>
      <c r="B76" s="121">
        <v>0.72525462962962972</v>
      </c>
      <c r="C76" s="26" t="s">
        <v>1226</v>
      </c>
    </row>
    <row r="77" spans="1:3" x14ac:dyDescent="0.25">
      <c r="A77" s="36">
        <v>41402</v>
      </c>
      <c r="B77" s="121">
        <v>0.72525462962962972</v>
      </c>
      <c r="C77" s="26" t="s">
        <v>1226</v>
      </c>
    </row>
    <row r="78" spans="1:3" x14ac:dyDescent="0.25">
      <c r="A78" s="36">
        <v>41402</v>
      </c>
      <c r="B78" s="121">
        <v>0.72525462962962972</v>
      </c>
      <c r="C78" s="26" t="s">
        <v>1223</v>
      </c>
    </row>
    <row r="79" spans="1:3" x14ac:dyDescent="0.25">
      <c r="A79" s="36">
        <v>41402</v>
      </c>
      <c r="B79" s="121">
        <v>0.72525462962962972</v>
      </c>
      <c r="C79" s="26" t="s">
        <v>1227</v>
      </c>
    </row>
    <row r="80" spans="1:3" x14ac:dyDescent="0.25">
      <c r="A80" s="36">
        <v>41402</v>
      </c>
      <c r="B80" s="121">
        <v>0.72526620370370365</v>
      </c>
      <c r="C80" s="26" t="s">
        <v>1228</v>
      </c>
    </row>
    <row r="81" spans="1:3" x14ac:dyDescent="0.25">
      <c r="A81" s="36">
        <v>41402</v>
      </c>
      <c r="B81" s="121">
        <v>0.72585648148148152</v>
      </c>
      <c r="C81" s="26" t="s">
        <v>1229</v>
      </c>
    </row>
    <row r="82" spans="1:3" x14ac:dyDescent="0.25">
      <c r="A82" s="36">
        <v>41402</v>
      </c>
      <c r="B82" s="121">
        <v>0.72585648148148152</v>
      </c>
      <c r="C82" s="26" t="s">
        <v>1230</v>
      </c>
    </row>
    <row r="83" spans="1:3" x14ac:dyDescent="0.25">
      <c r="A83" s="36">
        <v>41402</v>
      </c>
      <c r="B83" s="121">
        <v>0.72585648148148152</v>
      </c>
      <c r="C83" s="26" t="s">
        <v>1231</v>
      </c>
    </row>
    <row r="84" spans="1:3" x14ac:dyDescent="0.25">
      <c r="A84" s="36">
        <v>41402</v>
      </c>
      <c r="B84" s="121">
        <v>0.72585648148148152</v>
      </c>
      <c r="C84" s="26" t="s">
        <v>1232</v>
      </c>
    </row>
    <row r="85" spans="1:3" x14ac:dyDescent="0.25">
      <c r="A85" s="36">
        <v>41402</v>
      </c>
      <c r="B85" s="121">
        <v>0.72585648148148152</v>
      </c>
      <c r="C85" s="26" t="s">
        <v>1233</v>
      </c>
    </row>
    <row r="86" spans="1:3" x14ac:dyDescent="0.25">
      <c r="A86" s="36">
        <v>41402</v>
      </c>
      <c r="B86" s="121">
        <v>0.72585648148148152</v>
      </c>
      <c r="C86" s="26" t="s">
        <v>1234</v>
      </c>
    </row>
    <row r="87" spans="1:3" x14ac:dyDescent="0.25">
      <c r="A87" s="36">
        <v>41402</v>
      </c>
      <c r="B87" s="121">
        <v>0.72585648148148152</v>
      </c>
      <c r="C87" s="26" t="s">
        <v>1235</v>
      </c>
    </row>
    <row r="88" spans="1:3" x14ac:dyDescent="0.25">
      <c r="A88" s="36">
        <v>41402</v>
      </c>
      <c r="B88" s="121">
        <v>0.72585648148148152</v>
      </c>
      <c r="C88" s="26" t="s">
        <v>1236</v>
      </c>
    </row>
    <row r="89" spans="1:3" x14ac:dyDescent="0.25">
      <c r="A89" s="36">
        <v>41402</v>
      </c>
      <c r="B89" s="121">
        <v>0.72585648148148152</v>
      </c>
      <c r="C89" s="26" t="s">
        <v>1237</v>
      </c>
    </row>
    <row r="90" spans="1:3" x14ac:dyDescent="0.25">
      <c r="A90" s="36">
        <v>41402</v>
      </c>
      <c r="B90" s="121">
        <v>0.72585648148148152</v>
      </c>
      <c r="C90" s="26" t="s">
        <v>1238</v>
      </c>
    </row>
    <row r="91" spans="1:3" x14ac:dyDescent="0.25">
      <c r="A91" s="36">
        <v>41402</v>
      </c>
      <c r="B91" s="121">
        <v>0.72585648148148152</v>
      </c>
      <c r="C91" s="26" t="s">
        <v>1239</v>
      </c>
    </row>
    <row r="92" spans="1:3" x14ac:dyDescent="0.25">
      <c r="A92" s="36">
        <v>41402</v>
      </c>
      <c r="B92" s="121">
        <v>0.72585648148148152</v>
      </c>
      <c r="C92" s="26" t="s">
        <v>1240</v>
      </c>
    </row>
    <row r="93" spans="1:3" x14ac:dyDescent="0.25">
      <c r="A93" s="36">
        <v>41402</v>
      </c>
      <c r="B93" s="121">
        <v>0.72585648148148152</v>
      </c>
      <c r="C93" s="26" t="s">
        <v>1241</v>
      </c>
    </row>
    <row r="94" spans="1:3" x14ac:dyDescent="0.25">
      <c r="A94" s="36">
        <v>41402</v>
      </c>
      <c r="B94" s="121">
        <v>0.72585648148148152</v>
      </c>
      <c r="C94" s="26" t="s">
        <v>1242</v>
      </c>
    </row>
    <row r="95" spans="1:3" x14ac:dyDescent="0.25">
      <c r="A95" s="36">
        <v>41402</v>
      </c>
      <c r="B95" s="121">
        <v>0.72586805555555556</v>
      </c>
      <c r="C95" s="26" t="s">
        <v>1243</v>
      </c>
    </row>
    <row r="96" spans="1:3" x14ac:dyDescent="0.25">
      <c r="A96" s="36">
        <v>41402</v>
      </c>
      <c r="B96" s="121">
        <v>0.72586805555555556</v>
      </c>
      <c r="C96" s="26" t="s">
        <v>1244</v>
      </c>
    </row>
    <row r="97" spans="1:3" x14ac:dyDescent="0.25">
      <c r="A97" s="36">
        <v>41402</v>
      </c>
      <c r="B97" s="121">
        <v>0.72586805555555556</v>
      </c>
      <c r="C97" s="26" t="s">
        <v>1245</v>
      </c>
    </row>
    <row r="98" spans="1:3" x14ac:dyDescent="0.25">
      <c r="A98" s="36">
        <v>41402</v>
      </c>
      <c r="B98" s="121">
        <v>0.72586805555555556</v>
      </c>
      <c r="C98" s="26" t="s">
        <v>1246</v>
      </c>
    </row>
    <row r="99" spans="1:3" x14ac:dyDescent="0.25">
      <c r="A99" s="36">
        <v>41402</v>
      </c>
      <c r="B99" s="121">
        <v>0.72586805555555556</v>
      </c>
      <c r="C99" s="26" t="s">
        <v>1233</v>
      </c>
    </row>
    <row r="100" spans="1:3" x14ac:dyDescent="0.25">
      <c r="A100" s="36">
        <v>41402</v>
      </c>
      <c r="B100" s="121">
        <v>0.72586805555555556</v>
      </c>
      <c r="C100" s="26" t="s">
        <v>1247</v>
      </c>
    </row>
    <row r="101" spans="1:3" x14ac:dyDescent="0.25">
      <c r="A101" s="36">
        <v>41402</v>
      </c>
      <c r="B101" s="121">
        <v>0.72586805555555556</v>
      </c>
      <c r="C101" s="26" t="s">
        <v>1248</v>
      </c>
    </row>
    <row r="102" spans="1:3" x14ac:dyDescent="0.25">
      <c r="A102" s="36">
        <v>41402</v>
      </c>
      <c r="B102" s="121">
        <v>0.72586805555555556</v>
      </c>
      <c r="C102" s="26" t="s">
        <v>1249</v>
      </c>
    </row>
    <row r="103" spans="1:3" x14ac:dyDescent="0.25">
      <c r="A103" s="36">
        <v>41402</v>
      </c>
      <c r="B103" s="121">
        <v>0.72586805555555556</v>
      </c>
      <c r="C103" s="26" t="s">
        <v>1250</v>
      </c>
    </row>
    <row r="104" spans="1:3" x14ac:dyDescent="0.25">
      <c r="A104" s="36">
        <v>41402</v>
      </c>
      <c r="B104" s="121">
        <v>0.72586805555555556</v>
      </c>
      <c r="C104" s="26" t="s">
        <v>1251</v>
      </c>
    </row>
    <row r="105" spans="1:3" x14ac:dyDescent="0.25">
      <c r="A105" s="36">
        <v>41402</v>
      </c>
      <c r="B105" s="121">
        <v>0.72586805555555556</v>
      </c>
      <c r="C105" s="26" t="s">
        <v>1252</v>
      </c>
    </row>
    <row r="106" spans="1:3" x14ac:dyDescent="0.25">
      <c r="A106" s="36">
        <v>41402</v>
      </c>
      <c r="B106" s="121">
        <v>0.72586805555555556</v>
      </c>
      <c r="C106" s="26" t="s">
        <v>1253</v>
      </c>
    </row>
    <row r="107" spans="1:3" x14ac:dyDescent="0.25">
      <c r="A107" s="36">
        <v>41402</v>
      </c>
      <c r="B107" s="121">
        <v>0.72586805555555556</v>
      </c>
      <c r="C107" s="26" t="s">
        <v>1254</v>
      </c>
    </row>
    <row r="108" spans="1:3" x14ac:dyDescent="0.25">
      <c r="A108" s="36">
        <v>41402</v>
      </c>
      <c r="B108" s="121">
        <v>0.72586805555555556</v>
      </c>
      <c r="C108" s="26" t="s">
        <v>1255</v>
      </c>
    </row>
    <row r="109" spans="1:3" x14ac:dyDescent="0.25">
      <c r="A109" s="36">
        <v>41402</v>
      </c>
      <c r="B109" s="121">
        <v>0.72586805555555556</v>
      </c>
      <c r="C109" s="26" t="s">
        <v>1256</v>
      </c>
    </row>
    <row r="110" spans="1:3" x14ac:dyDescent="0.25">
      <c r="A110" s="36">
        <v>41402</v>
      </c>
      <c r="B110" s="121">
        <v>0.72586805555555556</v>
      </c>
      <c r="C110" s="26" t="s">
        <v>1236</v>
      </c>
    </row>
    <row r="111" spans="1:3" x14ac:dyDescent="0.25">
      <c r="A111" s="36">
        <v>41402</v>
      </c>
      <c r="B111" s="121">
        <v>0.72586805555555556</v>
      </c>
      <c r="C111" s="26" t="s">
        <v>1257</v>
      </c>
    </row>
    <row r="112" spans="1:3" x14ac:dyDescent="0.25">
      <c r="A112" s="36">
        <v>41402</v>
      </c>
      <c r="B112" s="121">
        <v>0.72586805555555556</v>
      </c>
      <c r="C112" s="26" t="s">
        <v>1258</v>
      </c>
    </row>
    <row r="113" spans="1:3" x14ac:dyDescent="0.25">
      <c r="A113" s="36">
        <v>41402</v>
      </c>
      <c r="B113" s="121">
        <v>0.72586805555555556</v>
      </c>
      <c r="C113" s="26" t="s">
        <v>1259</v>
      </c>
    </row>
    <row r="114" spans="1:3" x14ac:dyDescent="0.25">
      <c r="A114" s="36">
        <v>41402</v>
      </c>
      <c r="B114" s="121">
        <v>0.72586805555555556</v>
      </c>
      <c r="C114" s="26" t="s">
        <v>1260</v>
      </c>
    </row>
    <row r="115" spans="1:3" x14ac:dyDescent="0.25">
      <c r="A115" s="36">
        <v>41402</v>
      </c>
      <c r="B115" s="121">
        <v>0.72586805555555556</v>
      </c>
      <c r="C115" s="26" t="s">
        <v>1260</v>
      </c>
    </row>
    <row r="116" spans="1:3" x14ac:dyDescent="0.25">
      <c r="A116" s="36">
        <v>41402</v>
      </c>
      <c r="B116" s="121">
        <v>0.72586805555555556</v>
      </c>
      <c r="C116" s="26" t="s">
        <v>1261</v>
      </c>
    </row>
    <row r="117" spans="1:3" x14ac:dyDescent="0.25">
      <c r="A117" s="36">
        <v>41402</v>
      </c>
      <c r="B117" s="121">
        <v>0.72586805555555556</v>
      </c>
      <c r="C117" s="26" t="s">
        <v>1260</v>
      </c>
    </row>
    <row r="118" spans="1:3" x14ac:dyDescent="0.25">
      <c r="A118" s="36">
        <v>41402</v>
      </c>
      <c r="B118" s="121">
        <v>0.72586805555555556</v>
      </c>
      <c r="C118" s="26" t="s">
        <v>1260</v>
      </c>
    </row>
    <row r="119" spans="1:3" x14ac:dyDescent="0.25">
      <c r="A119" s="36">
        <v>41402</v>
      </c>
      <c r="B119" s="121">
        <v>0.72586805555555556</v>
      </c>
      <c r="C119" s="26" t="s">
        <v>1236</v>
      </c>
    </row>
    <row r="120" spans="1:3" x14ac:dyDescent="0.25">
      <c r="A120" s="36">
        <v>41402</v>
      </c>
      <c r="B120" s="121">
        <v>0.72586805555555556</v>
      </c>
      <c r="C120" s="26" t="s">
        <v>1262</v>
      </c>
    </row>
    <row r="121" spans="1:3" x14ac:dyDescent="0.25">
      <c r="A121" s="36">
        <v>41402</v>
      </c>
      <c r="B121" s="121">
        <v>0.72586805555555556</v>
      </c>
      <c r="C121" s="26" t="s">
        <v>1254</v>
      </c>
    </row>
    <row r="122" spans="1:3" x14ac:dyDescent="0.25">
      <c r="A122" s="36">
        <v>41402</v>
      </c>
      <c r="B122" s="121">
        <v>0.72586805555555556</v>
      </c>
      <c r="C122" s="26" t="s">
        <v>1254</v>
      </c>
    </row>
    <row r="123" spans="1:3" x14ac:dyDescent="0.25">
      <c r="A123" s="36">
        <v>41402</v>
      </c>
      <c r="B123" s="121">
        <v>0.72586805555555556</v>
      </c>
      <c r="C123" s="26" t="s">
        <v>1263</v>
      </c>
    </row>
    <row r="124" spans="1:3" x14ac:dyDescent="0.25">
      <c r="A124" s="36">
        <v>41402</v>
      </c>
      <c r="B124" s="121">
        <v>0.7258796296296296</v>
      </c>
      <c r="C124" s="26" t="s">
        <v>1254</v>
      </c>
    </row>
    <row r="125" spans="1:3" x14ac:dyDescent="0.25">
      <c r="A125" s="36">
        <v>41402</v>
      </c>
      <c r="B125" s="121">
        <v>0.7258796296296296</v>
      </c>
      <c r="C125" s="26" t="s">
        <v>1252</v>
      </c>
    </row>
    <row r="126" spans="1:3" x14ac:dyDescent="0.25">
      <c r="A126" s="36">
        <v>41402</v>
      </c>
      <c r="B126" s="121">
        <v>0.7258796296296296</v>
      </c>
      <c r="C126" s="26" t="s">
        <v>1260</v>
      </c>
    </row>
    <row r="127" spans="1:3" x14ac:dyDescent="0.25">
      <c r="A127" s="36">
        <v>41402</v>
      </c>
      <c r="B127" s="121">
        <v>0.7258796296296296</v>
      </c>
      <c r="C127" s="26" t="s">
        <v>1264</v>
      </c>
    </row>
    <row r="128" spans="1:3" x14ac:dyDescent="0.25">
      <c r="A128" s="36">
        <v>41402</v>
      </c>
      <c r="B128" s="121">
        <v>0.7258796296296296</v>
      </c>
      <c r="C128" s="26" t="s">
        <v>1265</v>
      </c>
    </row>
    <row r="129" spans="1:3" x14ac:dyDescent="0.25">
      <c r="A129" s="36">
        <v>41402</v>
      </c>
      <c r="B129" s="121">
        <v>0.7258796296296296</v>
      </c>
      <c r="C129" s="26" t="s">
        <v>1266</v>
      </c>
    </row>
    <row r="130" spans="1:3" x14ac:dyDescent="0.25">
      <c r="A130" s="36">
        <v>41402</v>
      </c>
      <c r="B130" s="121">
        <v>0.7258796296296296</v>
      </c>
      <c r="C130" s="26" t="s">
        <v>1260</v>
      </c>
    </row>
    <row r="131" spans="1:3" x14ac:dyDescent="0.25">
      <c r="A131" s="36">
        <v>41402</v>
      </c>
      <c r="B131" s="121">
        <v>0.7258796296296296</v>
      </c>
      <c r="C131" s="26" t="s">
        <v>1267</v>
      </c>
    </row>
    <row r="132" spans="1:3" x14ac:dyDescent="0.25">
      <c r="A132" s="36">
        <v>41402</v>
      </c>
      <c r="B132" s="121">
        <v>0.7258796296296296</v>
      </c>
      <c r="C132" s="26" t="s">
        <v>1268</v>
      </c>
    </row>
    <row r="133" spans="1:3" x14ac:dyDescent="0.25">
      <c r="A133" s="36">
        <v>41402</v>
      </c>
      <c r="B133" s="121">
        <v>0.7258796296296296</v>
      </c>
      <c r="C133" s="26" t="s">
        <v>1269</v>
      </c>
    </row>
    <row r="134" spans="1:3" x14ac:dyDescent="0.25">
      <c r="A134" s="36">
        <v>41402</v>
      </c>
      <c r="B134" s="121">
        <v>0.7258796296296296</v>
      </c>
      <c r="C134" s="26" t="s">
        <v>1270</v>
      </c>
    </row>
    <row r="135" spans="1:3" x14ac:dyDescent="0.25">
      <c r="A135" s="36">
        <v>41402</v>
      </c>
      <c r="B135" s="121">
        <v>0.7258796296296296</v>
      </c>
      <c r="C135" s="26" t="s">
        <v>1271</v>
      </c>
    </row>
    <row r="136" spans="1:3" x14ac:dyDescent="0.25">
      <c r="A136" s="36">
        <v>41402</v>
      </c>
      <c r="B136" s="121">
        <v>0.7258796296296296</v>
      </c>
      <c r="C136" s="26" t="s">
        <v>1272</v>
      </c>
    </row>
    <row r="137" spans="1:3" x14ac:dyDescent="0.25">
      <c r="A137" s="36">
        <v>41402</v>
      </c>
      <c r="B137" s="121">
        <v>0.7258796296296296</v>
      </c>
      <c r="C137" s="26" t="s">
        <v>1273</v>
      </c>
    </row>
    <row r="138" spans="1:3" x14ac:dyDescent="0.25">
      <c r="A138" s="36">
        <v>41402</v>
      </c>
      <c r="B138" s="121">
        <v>0.7258796296296296</v>
      </c>
      <c r="C138" s="26" t="s">
        <v>1274</v>
      </c>
    </row>
    <row r="139" spans="1:3" x14ac:dyDescent="0.25">
      <c r="A139" s="36">
        <v>41402</v>
      </c>
      <c r="B139" s="121">
        <v>0.7258796296296296</v>
      </c>
      <c r="C139" s="26" t="s">
        <v>1275</v>
      </c>
    </row>
    <row r="140" spans="1:3" x14ac:dyDescent="0.25">
      <c r="A140" s="36">
        <v>41402</v>
      </c>
      <c r="B140" s="121">
        <v>0.7258796296296296</v>
      </c>
      <c r="C140" s="26" t="s">
        <v>1276</v>
      </c>
    </row>
    <row r="141" spans="1:3" x14ac:dyDescent="0.25">
      <c r="A141" s="36">
        <v>41402</v>
      </c>
      <c r="B141" s="121">
        <v>0.7258796296296296</v>
      </c>
      <c r="C141" s="26" t="s">
        <v>1277</v>
      </c>
    </row>
    <row r="142" spans="1:3" x14ac:dyDescent="0.25">
      <c r="A142" s="36">
        <v>41402</v>
      </c>
      <c r="B142" s="121">
        <v>0.7258796296296296</v>
      </c>
      <c r="C142" s="26" t="s">
        <v>1260</v>
      </c>
    </row>
    <row r="143" spans="1:3" x14ac:dyDescent="0.25">
      <c r="A143" s="36">
        <v>41402</v>
      </c>
      <c r="B143" s="121">
        <v>0.7258796296296296</v>
      </c>
      <c r="C143" s="26" t="s">
        <v>1277</v>
      </c>
    </row>
    <row r="144" spans="1:3" x14ac:dyDescent="0.25">
      <c r="A144" s="36">
        <v>41402</v>
      </c>
      <c r="B144" s="121">
        <v>0.7258796296296296</v>
      </c>
      <c r="C144" s="26" t="s">
        <v>1278</v>
      </c>
    </row>
    <row r="145" spans="1:3" x14ac:dyDescent="0.25">
      <c r="A145" s="36">
        <v>41402</v>
      </c>
      <c r="B145" s="121">
        <v>0.7258796296296296</v>
      </c>
      <c r="C145" s="26" t="s">
        <v>1277</v>
      </c>
    </row>
    <row r="146" spans="1:3" x14ac:dyDescent="0.25">
      <c r="A146" s="36">
        <v>41402</v>
      </c>
      <c r="B146" s="121">
        <v>0.7258796296296296</v>
      </c>
      <c r="C146" s="26" t="s">
        <v>1277</v>
      </c>
    </row>
    <row r="147" spans="1:3" x14ac:dyDescent="0.25">
      <c r="A147" s="36">
        <v>41402</v>
      </c>
      <c r="B147" s="121">
        <v>0.7258796296296296</v>
      </c>
      <c r="C147" s="26" t="s">
        <v>1279</v>
      </c>
    </row>
    <row r="148" spans="1:3" x14ac:dyDescent="0.25">
      <c r="A148" s="36">
        <v>41402</v>
      </c>
      <c r="B148" s="121">
        <v>0.7258796296296296</v>
      </c>
      <c r="C148" s="26" t="s">
        <v>1280</v>
      </c>
    </row>
    <row r="149" spans="1:3" x14ac:dyDescent="0.25">
      <c r="A149" s="36">
        <v>41402</v>
      </c>
      <c r="B149" s="121">
        <v>0.7258796296296296</v>
      </c>
      <c r="C149" s="26" t="s">
        <v>1281</v>
      </c>
    </row>
    <row r="150" spans="1:3" x14ac:dyDescent="0.25">
      <c r="A150" s="36">
        <v>41402</v>
      </c>
      <c r="B150" s="121">
        <v>0.7258796296296296</v>
      </c>
      <c r="C150" s="26" t="s">
        <v>1282</v>
      </c>
    </row>
    <row r="151" spans="1:3" x14ac:dyDescent="0.25">
      <c r="A151" s="36">
        <v>41402</v>
      </c>
      <c r="B151" s="121">
        <v>0.7258796296296296</v>
      </c>
      <c r="C151" s="26" t="s">
        <v>1283</v>
      </c>
    </row>
    <row r="152" spans="1:3" x14ac:dyDescent="0.25">
      <c r="A152" s="36">
        <v>41402</v>
      </c>
      <c r="B152" s="121">
        <v>0.7258796296296296</v>
      </c>
      <c r="C152" s="26" t="s">
        <v>1284</v>
      </c>
    </row>
    <row r="153" spans="1:3" x14ac:dyDescent="0.25">
      <c r="A153" s="36">
        <v>41402</v>
      </c>
      <c r="B153" s="121">
        <v>0.7258796296296296</v>
      </c>
      <c r="C153" s="26" t="s">
        <v>1284</v>
      </c>
    </row>
    <row r="154" spans="1:3" x14ac:dyDescent="0.25">
      <c r="A154" s="36">
        <v>41402</v>
      </c>
      <c r="B154" s="121">
        <v>0.7258796296296296</v>
      </c>
      <c r="C154" s="26" t="s">
        <v>1285</v>
      </c>
    </row>
    <row r="155" spans="1:3" x14ac:dyDescent="0.25">
      <c r="A155" s="36">
        <v>41402</v>
      </c>
      <c r="B155" s="121">
        <v>0.7258796296296296</v>
      </c>
      <c r="C155" s="26" t="s">
        <v>1286</v>
      </c>
    </row>
    <row r="156" spans="1:3" x14ac:dyDescent="0.25">
      <c r="A156" s="36">
        <v>41402</v>
      </c>
      <c r="B156" s="121">
        <v>0.7258796296296296</v>
      </c>
      <c r="C156" s="26" t="s">
        <v>1287</v>
      </c>
    </row>
    <row r="157" spans="1:3" x14ac:dyDescent="0.25">
      <c r="A157" s="36">
        <v>41402</v>
      </c>
      <c r="B157" s="121">
        <v>0.7258796296296296</v>
      </c>
      <c r="C157" s="26" t="s">
        <v>1288</v>
      </c>
    </row>
    <row r="158" spans="1:3" x14ac:dyDescent="0.25">
      <c r="A158" s="36">
        <v>41402</v>
      </c>
      <c r="B158" s="121">
        <v>0.7258796296296296</v>
      </c>
      <c r="C158" s="26" t="s">
        <v>1289</v>
      </c>
    </row>
    <row r="159" spans="1:3" x14ac:dyDescent="0.25">
      <c r="A159" s="36">
        <v>41402</v>
      </c>
      <c r="B159" s="121">
        <v>0.7258796296296296</v>
      </c>
      <c r="C159" s="26" t="s">
        <v>1263</v>
      </c>
    </row>
    <row r="160" spans="1:3" x14ac:dyDescent="0.25">
      <c r="A160" s="36">
        <v>41402</v>
      </c>
      <c r="B160" s="121">
        <v>0.7258796296296296</v>
      </c>
      <c r="C160" s="26" t="s">
        <v>1290</v>
      </c>
    </row>
    <row r="161" spans="1:3" x14ac:dyDescent="0.25">
      <c r="A161" s="36">
        <v>41402</v>
      </c>
      <c r="B161" s="121">
        <v>0.7258796296296296</v>
      </c>
      <c r="C161" s="26" t="s">
        <v>1291</v>
      </c>
    </row>
    <row r="162" spans="1:3" x14ac:dyDescent="0.25">
      <c r="A162" s="36">
        <v>41402</v>
      </c>
      <c r="B162" s="121">
        <v>0.7258796296296296</v>
      </c>
      <c r="C162" s="26" t="s">
        <v>1292</v>
      </c>
    </row>
    <row r="163" spans="1:3" x14ac:dyDescent="0.25">
      <c r="A163" s="36">
        <v>41402</v>
      </c>
      <c r="B163" s="121">
        <v>0.7258796296296296</v>
      </c>
      <c r="C163" s="26" t="s">
        <v>1293</v>
      </c>
    </row>
    <row r="164" spans="1:3" x14ac:dyDescent="0.25">
      <c r="A164" s="36">
        <v>41402</v>
      </c>
      <c r="B164" s="121">
        <v>0.7258796296296296</v>
      </c>
      <c r="C164" s="26" t="s">
        <v>1294</v>
      </c>
    </row>
    <row r="165" spans="1:3" x14ac:dyDescent="0.25">
      <c r="A165" s="36">
        <v>41402</v>
      </c>
      <c r="B165" s="121">
        <v>0.7258796296296296</v>
      </c>
      <c r="C165" s="26" t="s">
        <v>1295</v>
      </c>
    </row>
    <row r="166" spans="1:3" x14ac:dyDescent="0.25">
      <c r="A166" s="36">
        <v>41402</v>
      </c>
      <c r="B166" s="121">
        <v>0.7258796296296296</v>
      </c>
      <c r="C166" s="26" t="s">
        <v>1296</v>
      </c>
    </row>
    <row r="167" spans="1:3" x14ac:dyDescent="0.25">
      <c r="A167" s="36">
        <v>41402</v>
      </c>
      <c r="B167" s="121">
        <v>0.7258796296296296</v>
      </c>
      <c r="C167" s="26" t="s">
        <v>1297</v>
      </c>
    </row>
    <row r="168" spans="1:3" x14ac:dyDescent="0.25">
      <c r="A168" s="36">
        <v>41402</v>
      </c>
      <c r="B168" s="121">
        <v>0.7258796296296296</v>
      </c>
      <c r="C168" s="26" t="s">
        <v>1298</v>
      </c>
    </row>
    <row r="169" spans="1:3" x14ac:dyDescent="0.25">
      <c r="A169" s="36">
        <v>41402</v>
      </c>
      <c r="B169" s="121">
        <v>0.7258796296296296</v>
      </c>
      <c r="C169" s="26" t="s">
        <v>1299</v>
      </c>
    </row>
    <row r="170" spans="1:3" x14ac:dyDescent="0.25">
      <c r="A170" s="36">
        <v>41402</v>
      </c>
      <c r="B170" s="121">
        <v>0.7258796296296296</v>
      </c>
      <c r="C170" s="26" t="s">
        <v>1300</v>
      </c>
    </row>
    <row r="171" spans="1:3" x14ac:dyDescent="0.25">
      <c r="A171" s="36">
        <v>41402</v>
      </c>
      <c r="B171" s="121">
        <v>0.7258796296296296</v>
      </c>
      <c r="C171" s="26" t="s">
        <v>1267</v>
      </c>
    </row>
    <row r="172" spans="1:3" x14ac:dyDescent="0.25">
      <c r="A172" s="36">
        <v>41402</v>
      </c>
      <c r="B172" s="121">
        <v>0.7258796296296296</v>
      </c>
      <c r="C172" s="26" t="s">
        <v>1301</v>
      </c>
    </row>
    <row r="173" spans="1:3" x14ac:dyDescent="0.25">
      <c r="A173" s="36">
        <v>41402</v>
      </c>
      <c r="B173" s="121">
        <v>0.7258796296296296</v>
      </c>
      <c r="C173" s="26" t="s">
        <v>1302</v>
      </c>
    </row>
    <row r="174" spans="1:3" x14ac:dyDescent="0.25">
      <c r="A174" s="36">
        <v>41402</v>
      </c>
      <c r="B174" s="121">
        <v>0.7258796296296296</v>
      </c>
      <c r="C174" s="26" t="s">
        <v>1303</v>
      </c>
    </row>
    <row r="175" spans="1:3" x14ac:dyDescent="0.25">
      <c r="A175" s="36">
        <v>41402</v>
      </c>
      <c r="B175" s="121">
        <v>0.7258796296296296</v>
      </c>
      <c r="C175" s="26" t="s">
        <v>1304</v>
      </c>
    </row>
    <row r="176" spans="1:3" x14ac:dyDescent="0.25">
      <c r="A176" s="36">
        <v>41402</v>
      </c>
      <c r="B176" s="121">
        <v>0.7258796296296296</v>
      </c>
      <c r="C176" s="26" t="s">
        <v>1252</v>
      </c>
    </row>
    <row r="177" spans="1:3" x14ac:dyDescent="0.25">
      <c r="A177" s="36">
        <v>41402</v>
      </c>
      <c r="B177" s="121">
        <v>0.7258796296296296</v>
      </c>
      <c r="C177" s="26" t="s">
        <v>1305</v>
      </c>
    </row>
    <row r="178" spans="1:3" x14ac:dyDescent="0.25">
      <c r="A178" s="36">
        <v>41402</v>
      </c>
      <c r="B178" s="121">
        <v>0.7258796296296296</v>
      </c>
      <c r="C178" s="26" t="s">
        <v>1306</v>
      </c>
    </row>
    <row r="179" spans="1:3" x14ac:dyDescent="0.25">
      <c r="A179" s="36">
        <v>41402</v>
      </c>
      <c r="B179" s="121">
        <v>0.7258796296296296</v>
      </c>
      <c r="C179" s="26" t="s">
        <v>1290</v>
      </c>
    </row>
    <row r="180" spans="1:3" x14ac:dyDescent="0.25">
      <c r="A180" s="36">
        <v>41402</v>
      </c>
      <c r="B180" s="121">
        <v>0.7258796296296296</v>
      </c>
      <c r="C180" s="26" t="s">
        <v>1307</v>
      </c>
    </row>
    <row r="181" spans="1:3" x14ac:dyDescent="0.25">
      <c r="A181" s="36">
        <v>41402</v>
      </c>
      <c r="B181" s="121">
        <v>0.7258796296296296</v>
      </c>
      <c r="C181" s="26" t="s">
        <v>1308</v>
      </c>
    </row>
    <row r="182" spans="1:3" x14ac:dyDescent="0.25">
      <c r="A182" s="36">
        <v>41402</v>
      </c>
      <c r="B182" s="121">
        <v>0.7258796296296296</v>
      </c>
      <c r="C182" s="26" t="s">
        <v>1308</v>
      </c>
    </row>
    <row r="183" spans="1:3" x14ac:dyDescent="0.25">
      <c r="A183" s="36">
        <v>41402</v>
      </c>
      <c r="B183" s="121">
        <v>0.7258796296296296</v>
      </c>
      <c r="C183" s="26" t="s">
        <v>1309</v>
      </c>
    </row>
    <row r="184" spans="1:3" x14ac:dyDescent="0.25">
      <c r="A184" s="36">
        <v>41402</v>
      </c>
      <c r="B184" s="121">
        <v>0.7258796296296296</v>
      </c>
      <c r="C184" s="26" t="s">
        <v>1303</v>
      </c>
    </row>
    <row r="185" spans="1:3" x14ac:dyDescent="0.25">
      <c r="A185" s="36">
        <v>41402</v>
      </c>
      <c r="B185" s="121">
        <v>0.7258796296296296</v>
      </c>
      <c r="C185" s="26" t="s">
        <v>1310</v>
      </c>
    </row>
    <row r="186" spans="1:3" x14ac:dyDescent="0.25">
      <c r="A186" s="36">
        <v>41402</v>
      </c>
      <c r="B186" s="121">
        <v>0.7258796296296296</v>
      </c>
      <c r="C186" s="26" t="s">
        <v>1311</v>
      </c>
    </row>
    <row r="187" spans="1:3" x14ac:dyDescent="0.25">
      <c r="A187" s="36">
        <v>41402</v>
      </c>
      <c r="B187" s="121">
        <v>0.7258796296296296</v>
      </c>
      <c r="C187" s="26" t="s">
        <v>1312</v>
      </c>
    </row>
    <row r="188" spans="1:3" x14ac:dyDescent="0.25">
      <c r="A188" s="36">
        <v>41402</v>
      </c>
      <c r="B188" s="121">
        <v>0.7258796296296296</v>
      </c>
      <c r="C188" s="26" t="s">
        <v>1273</v>
      </c>
    </row>
    <row r="189" spans="1:3" x14ac:dyDescent="0.25">
      <c r="A189" s="36">
        <v>41402</v>
      </c>
      <c r="B189" s="121">
        <v>0.7258796296296296</v>
      </c>
      <c r="C189" s="26" t="s">
        <v>1313</v>
      </c>
    </row>
    <row r="190" spans="1:3" x14ac:dyDescent="0.25">
      <c r="A190" s="36">
        <v>41402</v>
      </c>
      <c r="B190" s="121">
        <v>0.7258796296296296</v>
      </c>
      <c r="C190" s="26" t="s">
        <v>1314</v>
      </c>
    </row>
    <row r="191" spans="1:3" x14ac:dyDescent="0.25">
      <c r="A191" s="36">
        <v>41402</v>
      </c>
      <c r="B191" s="121">
        <v>0.7258796296296296</v>
      </c>
      <c r="C191" s="26" t="s">
        <v>1315</v>
      </c>
    </row>
    <row r="192" spans="1:3" x14ac:dyDescent="0.25">
      <c r="A192" s="36">
        <v>41402</v>
      </c>
      <c r="B192" s="121">
        <v>0.7258796296296296</v>
      </c>
      <c r="C192" s="26" t="s">
        <v>1310</v>
      </c>
    </row>
    <row r="193" spans="1:3" x14ac:dyDescent="0.25">
      <c r="A193" s="36">
        <v>41402</v>
      </c>
      <c r="B193" s="121">
        <v>0.7258796296296296</v>
      </c>
      <c r="C193" s="26" t="s">
        <v>1316</v>
      </c>
    </row>
    <row r="194" spans="1:3" x14ac:dyDescent="0.25">
      <c r="A194" s="36">
        <v>41402</v>
      </c>
      <c r="B194" s="121">
        <v>0.7258796296296296</v>
      </c>
      <c r="C194" s="26" t="s">
        <v>1317</v>
      </c>
    </row>
    <row r="195" spans="1:3" x14ac:dyDescent="0.25">
      <c r="A195" s="36">
        <v>41402</v>
      </c>
      <c r="B195" s="121">
        <v>0.7258796296296296</v>
      </c>
      <c r="C195" s="26" t="s">
        <v>1254</v>
      </c>
    </row>
    <row r="196" spans="1:3" x14ac:dyDescent="0.25">
      <c r="A196" s="36">
        <v>41402</v>
      </c>
      <c r="B196" s="121">
        <v>0.7258796296296296</v>
      </c>
      <c r="C196" s="26" t="s">
        <v>1254</v>
      </c>
    </row>
    <row r="197" spans="1:3" x14ac:dyDescent="0.25">
      <c r="A197" s="36">
        <v>41402</v>
      </c>
      <c r="B197" s="121">
        <v>0.7258796296296296</v>
      </c>
      <c r="C197" s="26" t="s">
        <v>1254</v>
      </c>
    </row>
    <row r="198" spans="1:3" x14ac:dyDescent="0.25">
      <c r="A198" s="36">
        <v>41402</v>
      </c>
      <c r="B198" s="121">
        <v>0.7258796296296296</v>
      </c>
      <c r="C198" s="26" t="s">
        <v>1318</v>
      </c>
    </row>
    <row r="199" spans="1:3" x14ac:dyDescent="0.25">
      <c r="A199" s="36">
        <v>41402</v>
      </c>
      <c r="B199" s="121">
        <v>0.7258796296296296</v>
      </c>
      <c r="C199" s="26" t="s">
        <v>1319</v>
      </c>
    </row>
    <row r="200" spans="1:3" x14ac:dyDescent="0.25">
      <c r="A200" s="36">
        <v>41402</v>
      </c>
      <c r="B200" s="121">
        <v>0.7258796296296296</v>
      </c>
      <c r="C200" s="26" t="s">
        <v>1265</v>
      </c>
    </row>
    <row r="201" spans="1:3" x14ac:dyDescent="0.25">
      <c r="A201" s="36">
        <v>41402</v>
      </c>
      <c r="B201" s="121">
        <v>0.7258796296296296</v>
      </c>
      <c r="C201" s="26" t="s">
        <v>1320</v>
      </c>
    </row>
    <row r="202" spans="1:3" x14ac:dyDescent="0.25">
      <c r="A202" s="36">
        <v>41402</v>
      </c>
      <c r="B202" s="121">
        <v>0.7258796296296296</v>
      </c>
      <c r="C202" s="26" t="s">
        <v>1321</v>
      </c>
    </row>
    <row r="203" spans="1:3" x14ac:dyDescent="0.25">
      <c r="A203" s="36">
        <v>41402</v>
      </c>
      <c r="B203" s="121">
        <v>0.7258796296296296</v>
      </c>
      <c r="C203" s="26" t="s">
        <v>1322</v>
      </c>
    </row>
    <row r="204" spans="1:3" x14ac:dyDescent="0.25">
      <c r="A204" s="36">
        <v>41402</v>
      </c>
      <c r="B204" s="121">
        <v>0.7258796296296296</v>
      </c>
      <c r="C204" s="26" t="s">
        <v>1323</v>
      </c>
    </row>
    <row r="205" spans="1:3" x14ac:dyDescent="0.25">
      <c r="A205" s="36">
        <v>41402</v>
      </c>
      <c r="B205" s="121">
        <v>0.7258796296296296</v>
      </c>
      <c r="C205" s="26" t="s">
        <v>1267</v>
      </c>
    </row>
    <row r="206" spans="1:3" x14ac:dyDescent="0.25">
      <c r="A206" s="36">
        <v>41402</v>
      </c>
      <c r="B206" s="121">
        <v>0.7258796296296296</v>
      </c>
      <c r="C206" s="26" t="s">
        <v>1324</v>
      </c>
    </row>
    <row r="207" spans="1:3" x14ac:dyDescent="0.25">
      <c r="A207" s="36">
        <v>41402</v>
      </c>
      <c r="B207" s="121">
        <v>0.7258796296296296</v>
      </c>
      <c r="C207" s="26" t="s">
        <v>1325</v>
      </c>
    </row>
    <row r="208" spans="1:3" x14ac:dyDescent="0.25">
      <c r="A208" s="36">
        <v>41402</v>
      </c>
      <c r="B208" s="121">
        <v>0.7258796296296296</v>
      </c>
      <c r="C208" s="26" t="s">
        <v>1326</v>
      </c>
    </row>
    <row r="209" spans="1:3" x14ac:dyDescent="0.25">
      <c r="A209" s="36">
        <v>41402</v>
      </c>
      <c r="B209" s="121">
        <v>0.7258796296296296</v>
      </c>
      <c r="C209" s="26" t="s">
        <v>1327</v>
      </c>
    </row>
    <row r="210" spans="1:3" x14ac:dyDescent="0.25">
      <c r="A210" s="36">
        <v>41402</v>
      </c>
      <c r="B210" s="121">
        <v>0.7258796296296296</v>
      </c>
      <c r="C210" s="26" t="s">
        <v>1328</v>
      </c>
    </row>
    <row r="211" spans="1:3" x14ac:dyDescent="0.25">
      <c r="A211" s="36">
        <v>41402</v>
      </c>
      <c r="B211" s="121">
        <v>0.7258796296296296</v>
      </c>
      <c r="C211" s="26" t="s">
        <v>1329</v>
      </c>
    </row>
    <row r="212" spans="1:3" x14ac:dyDescent="0.25">
      <c r="A212" s="36">
        <v>41402</v>
      </c>
      <c r="B212" s="121">
        <v>0.7258796296296296</v>
      </c>
      <c r="C212" s="26" t="s">
        <v>1329</v>
      </c>
    </row>
    <row r="213" spans="1:3" x14ac:dyDescent="0.25">
      <c r="A213" s="36">
        <v>41402</v>
      </c>
      <c r="B213" s="121">
        <v>0.7258796296296296</v>
      </c>
      <c r="C213" s="26" t="s">
        <v>1330</v>
      </c>
    </row>
    <row r="214" spans="1:3" x14ac:dyDescent="0.25">
      <c r="A214" s="36">
        <v>41402</v>
      </c>
      <c r="B214" s="121">
        <v>0.7258796296296296</v>
      </c>
      <c r="C214" s="26" t="s">
        <v>1262</v>
      </c>
    </row>
    <row r="215" spans="1:3" x14ac:dyDescent="0.25">
      <c r="A215" s="36">
        <v>41402</v>
      </c>
      <c r="B215" s="121">
        <v>0.7258796296296296</v>
      </c>
      <c r="C215" s="26" t="s">
        <v>1331</v>
      </c>
    </row>
    <row r="216" spans="1:3" x14ac:dyDescent="0.25">
      <c r="A216" s="36">
        <v>41402</v>
      </c>
      <c r="B216" s="121">
        <v>0.7258796296296296</v>
      </c>
      <c r="C216" s="26" t="s">
        <v>1332</v>
      </c>
    </row>
    <row r="217" spans="1:3" x14ac:dyDescent="0.25">
      <c r="A217" s="36">
        <v>41402</v>
      </c>
      <c r="B217" s="121">
        <v>0.7258796296296296</v>
      </c>
      <c r="C217" s="26" t="s">
        <v>1332</v>
      </c>
    </row>
    <row r="218" spans="1:3" x14ac:dyDescent="0.25">
      <c r="A218" s="36">
        <v>41402</v>
      </c>
      <c r="B218" s="121">
        <v>0.7258796296296296</v>
      </c>
      <c r="C218" s="26" t="s">
        <v>1333</v>
      </c>
    </row>
    <row r="219" spans="1:3" x14ac:dyDescent="0.25">
      <c r="A219" s="36">
        <v>41402</v>
      </c>
      <c r="B219" s="121">
        <v>0.7258796296296296</v>
      </c>
      <c r="C219" s="26" t="s">
        <v>1334</v>
      </c>
    </row>
    <row r="220" spans="1:3" x14ac:dyDescent="0.25">
      <c r="A220" s="36">
        <v>41402</v>
      </c>
      <c r="B220" s="121">
        <v>0.7258796296296296</v>
      </c>
      <c r="C220" s="26" t="s">
        <v>1335</v>
      </c>
    </row>
    <row r="221" spans="1:3" x14ac:dyDescent="0.25">
      <c r="A221" s="36">
        <v>41402</v>
      </c>
      <c r="B221" s="121">
        <v>0.7258796296296296</v>
      </c>
      <c r="C221" s="26" t="s">
        <v>1336</v>
      </c>
    </row>
    <row r="222" spans="1:3" x14ac:dyDescent="0.25">
      <c r="A222" s="36">
        <v>41402</v>
      </c>
      <c r="B222" s="121">
        <v>0.7258796296296296</v>
      </c>
      <c r="C222" s="26" t="s">
        <v>1337</v>
      </c>
    </row>
    <row r="223" spans="1:3" x14ac:dyDescent="0.25">
      <c r="A223" s="36">
        <v>41402</v>
      </c>
      <c r="B223" s="121">
        <v>0.7258796296296296</v>
      </c>
      <c r="C223" s="26" t="s">
        <v>1338</v>
      </c>
    </row>
    <row r="224" spans="1:3" x14ac:dyDescent="0.25">
      <c r="A224" s="36">
        <v>41402</v>
      </c>
      <c r="B224" s="121">
        <v>0.7258796296296296</v>
      </c>
      <c r="C224" s="26" t="s">
        <v>1337</v>
      </c>
    </row>
    <row r="225" spans="1:3" x14ac:dyDescent="0.25">
      <c r="A225" s="36">
        <v>41402</v>
      </c>
      <c r="B225" s="121">
        <v>0.7258796296296296</v>
      </c>
      <c r="C225" s="26" t="s">
        <v>1339</v>
      </c>
    </row>
    <row r="226" spans="1:3" x14ac:dyDescent="0.25">
      <c r="A226" s="36">
        <v>41402</v>
      </c>
      <c r="B226" s="121">
        <v>0.7258796296296296</v>
      </c>
      <c r="C226" s="26" t="s">
        <v>1340</v>
      </c>
    </row>
    <row r="227" spans="1:3" x14ac:dyDescent="0.25">
      <c r="A227" s="36">
        <v>41402</v>
      </c>
      <c r="B227" s="121">
        <v>0.7258796296296296</v>
      </c>
      <c r="C227" s="26" t="s">
        <v>1340</v>
      </c>
    </row>
    <row r="228" spans="1:3" x14ac:dyDescent="0.25">
      <c r="A228" s="36">
        <v>41402</v>
      </c>
      <c r="B228" s="121">
        <v>0.7258796296296296</v>
      </c>
      <c r="C228" s="26" t="s">
        <v>1265</v>
      </c>
    </row>
    <row r="229" spans="1:3" x14ac:dyDescent="0.25">
      <c r="A229" s="36">
        <v>41402</v>
      </c>
      <c r="B229" s="121">
        <v>0.7258796296296296</v>
      </c>
      <c r="C229" s="26" t="s">
        <v>1338</v>
      </c>
    </row>
    <row r="230" spans="1:3" x14ac:dyDescent="0.25">
      <c r="A230" s="36">
        <v>41402</v>
      </c>
      <c r="B230" s="121">
        <v>0.7258796296296296</v>
      </c>
      <c r="C230" s="26" t="s">
        <v>1252</v>
      </c>
    </row>
    <row r="231" spans="1:3" x14ac:dyDescent="0.25">
      <c r="A231" s="36">
        <v>41402</v>
      </c>
      <c r="B231" s="121">
        <v>0.7258796296296296</v>
      </c>
      <c r="C231" s="26" t="s">
        <v>1341</v>
      </c>
    </row>
    <row r="232" spans="1:3" x14ac:dyDescent="0.25">
      <c r="A232" s="36">
        <v>41402</v>
      </c>
      <c r="B232" s="121">
        <v>0.7258796296296296</v>
      </c>
      <c r="C232" s="26" t="s">
        <v>1342</v>
      </c>
    </row>
    <row r="233" spans="1:3" x14ac:dyDescent="0.25">
      <c r="A233" s="36">
        <v>41402</v>
      </c>
      <c r="B233" s="121">
        <v>0.7258796296296296</v>
      </c>
      <c r="C233" s="26" t="s">
        <v>1343</v>
      </c>
    </row>
    <row r="234" spans="1:3" x14ac:dyDescent="0.25">
      <c r="A234" s="36">
        <v>41402</v>
      </c>
      <c r="B234" s="121">
        <v>0.7258796296296296</v>
      </c>
      <c r="C234" s="26" t="s">
        <v>1344</v>
      </c>
    </row>
    <row r="235" spans="1:3" x14ac:dyDescent="0.25">
      <c r="A235" s="36">
        <v>41402</v>
      </c>
      <c r="B235" s="121">
        <v>0.7258796296296296</v>
      </c>
      <c r="C235" s="26" t="s">
        <v>1345</v>
      </c>
    </row>
    <row r="236" spans="1:3" x14ac:dyDescent="0.25">
      <c r="A236" s="36">
        <v>41402</v>
      </c>
      <c r="B236" s="121">
        <v>0.7258796296296296</v>
      </c>
      <c r="C236" s="26" t="s">
        <v>1332</v>
      </c>
    </row>
    <row r="237" spans="1:3" x14ac:dyDescent="0.25">
      <c r="A237" s="36">
        <v>41402</v>
      </c>
      <c r="B237" s="121">
        <v>0.7258796296296296</v>
      </c>
      <c r="C237" s="26" t="s">
        <v>1346</v>
      </c>
    </row>
    <row r="238" spans="1:3" x14ac:dyDescent="0.25">
      <c r="A238" s="36">
        <v>41402</v>
      </c>
      <c r="B238" s="121">
        <v>0.7258796296296296</v>
      </c>
      <c r="C238" s="26" t="s">
        <v>1315</v>
      </c>
    </row>
    <row r="239" spans="1:3" x14ac:dyDescent="0.25">
      <c r="A239" s="36">
        <v>41402</v>
      </c>
      <c r="B239" s="121">
        <v>0.7258796296296296</v>
      </c>
      <c r="C239" s="26" t="s">
        <v>1347</v>
      </c>
    </row>
    <row r="240" spans="1:3" x14ac:dyDescent="0.25">
      <c r="A240" s="36">
        <v>41402</v>
      </c>
      <c r="B240" s="121">
        <v>0.7258796296296296</v>
      </c>
      <c r="C240" s="26" t="s">
        <v>1348</v>
      </c>
    </row>
    <row r="241" spans="1:3" x14ac:dyDescent="0.25">
      <c r="A241" s="36">
        <v>41402</v>
      </c>
      <c r="B241" s="121">
        <v>0.7258796296296296</v>
      </c>
      <c r="C241" s="26" t="s">
        <v>1314</v>
      </c>
    </row>
    <row r="242" spans="1:3" x14ac:dyDescent="0.25">
      <c r="A242" s="36">
        <v>41402</v>
      </c>
      <c r="B242" s="121">
        <v>0.7258796296296296</v>
      </c>
      <c r="C242" s="26" t="s">
        <v>1349</v>
      </c>
    </row>
    <row r="243" spans="1:3" x14ac:dyDescent="0.25">
      <c r="A243" s="36">
        <v>41402</v>
      </c>
      <c r="B243" s="121">
        <v>0.7258796296296296</v>
      </c>
      <c r="C243" s="26" t="s">
        <v>1350</v>
      </c>
    </row>
    <row r="244" spans="1:3" x14ac:dyDescent="0.25">
      <c r="A244" s="36">
        <v>41402</v>
      </c>
      <c r="B244" s="121">
        <v>0.7258796296296296</v>
      </c>
      <c r="C244" s="26" t="s">
        <v>1337</v>
      </c>
    </row>
    <row r="245" spans="1:3" x14ac:dyDescent="0.25">
      <c r="A245" s="36">
        <v>41402</v>
      </c>
      <c r="B245" s="121">
        <v>0.7258796296296296</v>
      </c>
      <c r="C245" s="26" t="s">
        <v>1351</v>
      </c>
    </row>
    <row r="246" spans="1:3" x14ac:dyDescent="0.25">
      <c r="A246" s="36">
        <v>41402</v>
      </c>
      <c r="B246" s="121">
        <v>0.7258796296296296</v>
      </c>
      <c r="C246" s="26" t="s">
        <v>1352</v>
      </c>
    </row>
    <row r="247" spans="1:3" x14ac:dyDescent="0.25">
      <c r="A247" s="36">
        <v>41402</v>
      </c>
      <c r="B247" s="121">
        <v>0.7258796296296296</v>
      </c>
      <c r="C247" s="26" t="s">
        <v>1353</v>
      </c>
    </row>
    <row r="248" spans="1:3" x14ac:dyDescent="0.25">
      <c r="A248" s="36">
        <v>41402</v>
      </c>
      <c r="B248" s="121">
        <v>0.7258796296296296</v>
      </c>
      <c r="C248" s="26" t="s">
        <v>1354</v>
      </c>
    </row>
    <row r="249" spans="1:3" x14ac:dyDescent="0.25">
      <c r="A249" s="36">
        <v>41402</v>
      </c>
      <c r="B249" s="121">
        <v>0.7258796296296296</v>
      </c>
      <c r="C249" s="26" t="s">
        <v>1355</v>
      </c>
    </row>
    <row r="250" spans="1:3" x14ac:dyDescent="0.25">
      <c r="A250" s="36">
        <v>41402</v>
      </c>
      <c r="B250" s="121">
        <v>0.7258796296296296</v>
      </c>
      <c r="C250" s="26" t="s">
        <v>1356</v>
      </c>
    </row>
    <row r="251" spans="1:3" x14ac:dyDescent="0.25">
      <c r="A251" s="36">
        <v>41402</v>
      </c>
      <c r="B251" s="121">
        <v>0.72589120370370364</v>
      </c>
      <c r="C251" s="26" t="s">
        <v>1357</v>
      </c>
    </row>
    <row r="252" spans="1:3" x14ac:dyDescent="0.25">
      <c r="A252" s="36">
        <v>41402</v>
      </c>
      <c r="B252" s="121">
        <v>0.77496527777777768</v>
      </c>
      <c r="C252" s="26" t="s">
        <v>1195</v>
      </c>
    </row>
    <row r="253" spans="1:3" x14ac:dyDescent="0.25">
      <c r="A253" s="36">
        <v>41402</v>
      </c>
      <c r="B253" s="121">
        <v>0.77706018518518516</v>
      </c>
      <c r="C253" s="26" t="s">
        <v>1213</v>
      </c>
    </row>
    <row r="254" spans="1:3" x14ac:dyDescent="0.25">
      <c r="A254" s="36">
        <v>41402</v>
      </c>
      <c r="B254" s="121">
        <v>0.77706018518518516</v>
      </c>
      <c r="C254" s="26" t="s">
        <v>1214</v>
      </c>
    </row>
    <row r="255" spans="1:3" x14ac:dyDescent="0.25">
      <c r="A255" s="36">
        <v>41402</v>
      </c>
      <c r="B255" s="121">
        <v>0.77706018518518516</v>
      </c>
      <c r="C255" s="26" t="s">
        <v>1215</v>
      </c>
    </row>
    <row r="256" spans="1:3" x14ac:dyDescent="0.25">
      <c r="A256" s="36">
        <v>41402</v>
      </c>
      <c r="B256" s="121">
        <v>0.77706018518518516</v>
      </c>
      <c r="C256" s="26" t="s">
        <v>1214</v>
      </c>
    </row>
    <row r="257" spans="1:3" x14ac:dyDescent="0.25">
      <c r="A257" s="36">
        <v>41402</v>
      </c>
      <c r="B257" s="121">
        <v>0.77706018518518516</v>
      </c>
      <c r="C257" s="26" t="s">
        <v>1216</v>
      </c>
    </row>
    <row r="258" spans="1:3" x14ac:dyDescent="0.25">
      <c r="A258" s="36">
        <v>41402</v>
      </c>
      <c r="B258" s="121">
        <v>0.77706018518518516</v>
      </c>
      <c r="C258" s="26" t="s">
        <v>1216</v>
      </c>
    </row>
    <row r="259" spans="1:3" x14ac:dyDescent="0.25">
      <c r="A259" s="36">
        <v>41402</v>
      </c>
      <c r="B259" s="121">
        <v>0.77706018518518516</v>
      </c>
      <c r="C259" s="26" t="s">
        <v>1217</v>
      </c>
    </row>
    <row r="260" spans="1:3" x14ac:dyDescent="0.25">
      <c r="A260" s="36">
        <v>41402</v>
      </c>
      <c r="B260" s="121">
        <v>0.77706018518518516</v>
      </c>
      <c r="C260" s="26" t="s">
        <v>1218</v>
      </c>
    </row>
    <row r="261" spans="1:3" x14ac:dyDescent="0.25">
      <c r="A261" s="36">
        <v>41402</v>
      </c>
      <c r="B261" s="121">
        <v>0.77706018518518516</v>
      </c>
      <c r="C261" s="26" t="s">
        <v>1219</v>
      </c>
    </row>
    <row r="262" spans="1:3" x14ac:dyDescent="0.25">
      <c r="A262" s="36">
        <v>41402</v>
      </c>
      <c r="B262" s="121">
        <v>0.77706018518518516</v>
      </c>
      <c r="C262" s="26" t="s">
        <v>1220</v>
      </c>
    </row>
    <row r="263" spans="1:3" x14ac:dyDescent="0.25">
      <c r="A263" s="36">
        <v>41402</v>
      </c>
      <c r="B263" s="121">
        <v>0.77706018518518516</v>
      </c>
      <c r="C263" s="26" t="s">
        <v>1221</v>
      </c>
    </row>
    <row r="264" spans="1:3" x14ac:dyDescent="0.25">
      <c r="A264" s="36">
        <v>41402</v>
      </c>
      <c r="B264" s="121">
        <v>0.77706018518518516</v>
      </c>
      <c r="C264" s="26" t="s">
        <v>1222</v>
      </c>
    </row>
    <row r="265" spans="1:3" x14ac:dyDescent="0.25">
      <c r="A265" s="36">
        <v>41402</v>
      </c>
      <c r="B265" s="121">
        <v>0.77706018518518516</v>
      </c>
      <c r="C265" s="26" t="s">
        <v>1214</v>
      </c>
    </row>
    <row r="266" spans="1:3" x14ac:dyDescent="0.25">
      <c r="A266" s="36">
        <v>41402</v>
      </c>
      <c r="B266" s="121">
        <v>0.77706018518518516</v>
      </c>
      <c r="C266" s="26" t="s">
        <v>1223</v>
      </c>
    </row>
    <row r="267" spans="1:3" x14ac:dyDescent="0.25">
      <c r="A267" s="36">
        <v>41402</v>
      </c>
      <c r="B267" s="121">
        <v>0.77706018518518516</v>
      </c>
      <c r="C267" s="26" t="s">
        <v>1223</v>
      </c>
    </row>
    <row r="268" spans="1:3" x14ac:dyDescent="0.25">
      <c r="A268" s="36">
        <v>41402</v>
      </c>
      <c r="B268" s="121">
        <v>0.77706018518518516</v>
      </c>
      <c r="C268" s="26" t="s">
        <v>1224</v>
      </c>
    </row>
    <row r="269" spans="1:3" x14ac:dyDescent="0.25">
      <c r="A269" s="36">
        <v>41402</v>
      </c>
      <c r="B269" s="121">
        <v>0.77706018518518516</v>
      </c>
      <c r="C269" s="26" t="s">
        <v>1219</v>
      </c>
    </row>
    <row r="270" spans="1:3" x14ac:dyDescent="0.25">
      <c r="A270" s="36">
        <v>41402</v>
      </c>
      <c r="B270" s="121">
        <v>0.77706018518518516</v>
      </c>
      <c r="C270" s="26" t="s">
        <v>1219</v>
      </c>
    </row>
    <row r="271" spans="1:3" x14ac:dyDescent="0.25">
      <c r="A271" s="36">
        <v>41402</v>
      </c>
      <c r="B271" s="121">
        <v>0.77706018518518516</v>
      </c>
      <c r="C271" s="26" t="s">
        <v>1225</v>
      </c>
    </row>
    <row r="272" spans="1:3" x14ac:dyDescent="0.25">
      <c r="A272" s="36">
        <v>41402</v>
      </c>
      <c r="B272" s="121">
        <v>0.77706018518518516</v>
      </c>
      <c r="C272" s="26" t="s">
        <v>1226</v>
      </c>
    </row>
    <row r="273" spans="1:3" x14ac:dyDescent="0.25">
      <c r="A273" s="36">
        <v>41402</v>
      </c>
      <c r="B273" s="121">
        <v>0.77706018518518516</v>
      </c>
      <c r="C273" s="26" t="s">
        <v>1227</v>
      </c>
    </row>
    <row r="274" spans="1:3" x14ac:dyDescent="0.25">
      <c r="A274" s="36">
        <v>41402</v>
      </c>
      <c r="B274" s="121">
        <v>0.77706018518518516</v>
      </c>
      <c r="C274" s="26" t="s">
        <v>1226</v>
      </c>
    </row>
    <row r="275" spans="1:3" x14ac:dyDescent="0.25">
      <c r="A275" s="36">
        <v>41402</v>
      </c>
      <c r="B275" s="121">
        <v>0.77706018518518516</v>
      </c>
      <c r="C275" s="26" t="s">
        <v>1223</v>
      </c>
    </row>
    <row r="276" spans="1:3" x14ac:dyDescent="0.25">
      <c r="A276" s="36">
        <v>41402</v>
      </c>
      <c r="B276" s="121">
        <v>0.77707175925925931</v>
      </c>
      <c r="C276" s="26" t="s">
        <v>1358</v>
      </c>
    </row>
    <row r="277" spans="1:3" x14ac:dyDescent="0.25">
      <c r="A277" s="36">
        <v>41402</v>
      </c>
      <c r="B277" s="121">
        <v>0.78563657407407417</v>
      </c>
      <c r="C277" s="26" t="s">
        <v>1359</v>
      </c>
    </row>
    <row r="278" spans="1:3" ht="30" x14ac:dyDescent="0.25">
      <c r="A278" s="36">
        <v>41402</v>
      </c>
      <c r="B278" s="121">
        <v>0.78571759259259266</v>
      </c>
      <c r="C278" s="831" t="s">
        <v>1360</v>
      </c>
    </row>
    <row r="279" spans="1:3" ht="45" x14ac:dyDescent="0.25">
      <c r="A279" s="36">
        <v>41402</v>
      </c>
      <c r="B279" s="121">
        <v>0.78577546296296286</v>
      </c>
      <c r="C279" s="831" t="s">
        <v>1361</v>
      </c>
    </row>
    <row r="280" spans="1:3" x14ac:dyDescent="0.25">
      <c r="A280" s="36">
        <v>41402</v>
      </c>
      <c r="B280" s="121">
        <v>0.78686342592592595</v>
      </c>
      <c r="C280" s="26" t="s">
        <v>1362</v>
      </c>
    </row>
    <row r="281" spans="1:3" ht="30" x14ac:dyDescent="0.25">
      <c r="A281" s="36">
        <v>41402</v>
      </c>
      <c r="B281" s="121">
        <v>0.78708333333333336</v>
      </c>
      <c r="C281" s="831" t="s">
        <v>1363</v>
      </c>
    </row>
    <row r="282" spans="1:3" ht="45" x14ac:dyDescent="0.25">
      <c r="A282" s="36">
        <v>41402</v>
      </c>
      <c r="B282" s="121">
        <v>0.78776620370370365</v>
      </c>
      <c r="C282" s="831" t="s">
        <v>1364</v>
      </c>
    </row>
    <row r="283" spans="1:3" x14ac:dyDescent="0.25">
      <c r="A283" s="36">
        <v>41402</v>
      </c>
      <c r="B283" s="121">
        <v>0.80622685185185183</v>
      </c>
      <c r="C283" s="26" t="s">
        <v>1365</v>
      </c>
    </row>
    <row r="284" spans="1:3" ht="30" x14ac:dyDescent="0.25">
      <c r="A284" s="36">
        <v>41402</v>
      </c>
      <c r="B284" s="121">
        <v>0.8062962962962964</v>
      </c>
      <c r="C284" s="831" t="s">
        <v>1366</v>
      </c>
    </row>
    <row r="285" spans="1:3" ht="45" x14ac:dyDescent="0.25">
      <c r="A285" s="36">
        <v>41402</v>
      </c>
      <c r="B285" s="121">
        <v>0.80635416666666659</v>
      </c>
      <c r="C285" s="831" t="s">
        <v>1367</v>
      </c>
    </row>
    <row r="286" spans="1:3" x14ac:dyDescent="0.25">
      <c r="A286" s="36">
        <v>41402</v>
      </c>
      <c r="B286" s="121">
        <v>0.8160532407407407</v>
      </c>
      <c r="C286" s="26" t="s">
        <v>1362</v>
      </c>
    </row>
    <row r="287" spans="1:3" ht="30" x14ac:dyDescent="0.25">
      <c r="A287" s="36">
        <v>41402</v>
      </c>
      <c r="B287" s="121">
        <v>0.81630787037037045</v>
      </c>
      <c r="C287" s="831" t="s">
        <v>1368</v>
      </c>
    </row>
    <row r="288" spans="1:3" ht="45" x14ac:dyDescent="0.25">
      <c r="A288" s="36">
        <v>41402</v>
      </c>
      <c r="B288" s="121">
        <v>0.8168981481481481</v>
      </c>
      <c r="C288" s="831" t="s">
        <v>1369</v>
      </c>
    </row>
    <row r="289" spans="1:3" ht="30" x14ac:dyDescent="0.25">
      <c r="A289" s="36">
        <v>41402</v>
      </c>
      <c r="B289" s="121">
        <v>0.81914351851851863</v>
      </c>
      <c r="C289" s="831" t="s">
        <v>1370</v>
      </c>
    </row>
    <row r="290" spans="1:3" x14ac:dyDescent="0.25">
      <c r="A290" s="36">
        <v>41403</v>
      </c>
      <c r="B290" s="121">
        <v>0.98890046296296286</v>
      </c>
      <c r="C290" s="26" t="s">
        <v>1196</v>
      </c>
    </row>
    <row r="291" spans="1:3" ht="30" x14ac:dyDescent="0.25">
      <c r="A291" s="36">
        <v>41403</v>
      </c>
      <c r="B291" s="121">
        <v>0.98895833333333327</v>
      </c>
      <c r="C291" s="831" t="s">
        <v>1371</v>
      </c>
    </row>
    <row r="292" spans="1:3" ht="45" x14ac:dyDescent="0.25">
      <c r="A292" s="36">
        <v>41403</v>
      </c>
      <c r="B292" s="121">
        <v>0.98902777777777784</v>
      </c>
      <c r="C292" s="831" t="s">
        <v>1372</v>
      </c>
    </row>
    <row r="293" spans="1:3" x14ac:dyDescent="0.25">
      <c r="A293" s="36">
        <v>41403</v>
      </c>
      <c r="B293" s="121">
        <v>0.99033564814814812</v>
      </c>
      <c r="C293" s="26" t="s">
        <v>1373</v>
      </c>
    </row>
    <row r="294" spans="1:3" x14ac:dyDescent="0.25">
      <c r="A294" s="36">
        <v>41403</v>
      </c>
      <c r="B294" s="121">
        <v>0.99094907407407407</v>
      </c>
      <c r="C294" s="26" t="s">
        <v>1374</v>
      </c>
    </row>
    <row r="295" spans="1:3" ht="30" x14ac:dyDescent="0.25">
      <c r="A295" s="36">
        <v>41403</v>
      </c>
      <c r="B295" s="121">
        <v>0.9911226851851852</v>
      </c>
      <c r="C295" s="831" t="s">
        <v>1375</v>
      </c>
    </row>
    <row r="296" spans="1:3" ht="45" x14ac:dyDescent="0.25">
      <c r="A296" s="36">
        <v>41403</v>
      </c>
      <c r="B296" s="121">
        <v>0.99192129629629633</v>
      </c>
      <c r="C296" s="831" t="s">
        <v>1376</v>
      </c>
    </row>
    <row r="297" spans="1:3" x14ac:dyDescent="0.25">
      <c r="A297" s="36">
        <v>41403</v>
      </c>
      <c r="B297" s="121">
        <v>0.99234953703703699</v>
      </c>
      <c r="C297" s="26" t="s">
        <v>1377</v>
      </c>
    </row>
    <row r="298" spans="1:3" ht="45" x14ac:dyDescent="0.25">
      <c r="A298" s="36">
        <v>41403</v>
      </c>
      <c r="B298" s="121">
        <v>0.9934722222222222</v>
      </c>
      <c r="C298" s="831" t="s">
        <v>1378</v>
      </c>
    </row>
    <row r="299" spans="1:3" ht="45" x14ac:dyDescent="0.25">
      <c r="A299" s="36">
        <v>41403</v>
      </c>
      <c r="B299" s="121">
        <v>0.99361111111111111</v>
      </c>
      <c r="C299" s="831" t="s">
        <v>1379</v>
      </c>
    </row>
    <row r="300" spans="1:3" ht="30" x14ac:dyDescent="0.25">
      <c r="A300" s="36">
        <v>41403</v>
      </c>
      <c r="B300" s="121">
        <v>0.99364583333333334</v>
      </c>
      <c r="C300" s="831" t="s">
        <v>1380</v>
      </c>
    </row>
    <row r="301" spans="1:3" x14ac:dyDescent="0.25">
      <c r="A301" s="36">
        <v>41403</v>
      </c>
      <c r="B301" s="121">
        <v>0.99383101851851852</v>
      </c>
      <c r="C301" s="26" t="s">
        <v>1207</v>
      </c>
    </row>
    <row r="302" spans="1:3" x14ac:dyDescent="0.25">
      <c r="A302" s="36">
        <v>41403</v>
      </c>
      <c r="B302" s="121">
        <v>0.99395833333333339</v>
      </c>
      <c r="C302" s="26" t="s">
        <v>1381</v>
      </c>
    </row>
    <row r="303" spans="1:3" ht="30" x14ac:dyDescent="0.25">
      <c r="A303" s="36">
        <v>41403</v>
      </c>
      <c r="B303" s="121">
        <v>0.99578703703703697</v>
      </c>
      <c r="C303" s="831" t="s">
        <v>1382</v>
      </c>
    </row>
    <row r="304" spans="1:3" ht="45" x14ac:dyDescent="0.25">
      <c r="A304" s="36">
        <v>41403</v>
      </c>
      <c r="B304" s="121">
        <v>0.99614583333333329</v>
      </c>
      <c r="C304" s="831" t="s">
        <v>1383</v>
      </c>
    </row>
    <row r="305" spans="1:3" x14ac:dyDescent="0.25">
      <c r="A305" s="36">
        <v>41403</v>
      </c>
      <c r="B305" s="121">
        <v>0.99645833333333333</v>
      </c>
      <c r="C305" s="26" t="s">
        <v>1213</v>
      </c>
    </row>
    <row r="306" spans="1:3" x14ac:dyDescent="0.25">
      <c r="A306" s="36">
        <v>41403</v>
      </c>
      <c r="B306" s="121">
        <v>0.99645833333333333</v>
      </c>
      <c r="C306" s="26" t="s">
        <v>1214</v>
      </c>
    </row>
    <row r="307" spans="1:3" x14ac:dyDescent="0.25">
      <c r="A307" s="36">
        <v>41403</v>
      </c>
      <c r="B307" s="121">
        <v>0.99645833333333333</v>
      </c>
      <c r="C307" s="26" t="s">
        <v>1215</v>
      </c>
    </row>
    <row r="308" spans="1:3" x14ac:dyDescent="0.25">
      <c r="A308" s="36">
        <v>41403</v>
      </c>
      <c r="B308" s="121">
        <v>0.99645833333333333</v>
      </c>
      <c r="C308" s="26" t="s">
        <v>1214</v>
      </c>
    </row>
    <row r="309" spans="1:3" x14ac:dyDescent="0.25">
      <c r="A309" s="36">
        <v>41403</v>
      </c>
      <c r="B309" s="121">
        <v>0.99645833333333333</v>
      </c>
      <c r="C309" s="26" t="s">
        <v>1216</v>
      </c>
    </row>
    <row r="310" spans="1:3" x14ac:dyDescent="0.25">
      <c r="A310" s="36">
        <v>41403</v>
      </c>
      <c r="B310" s="121">
        <v>0.99645833333333333</v>
      </c>
      <c r="C310" s="26" t="s">
        <v>1216</v>
      </c>
    </row>
    <row r="311" spans="1:3" x14ac:dyDescent="0.25">
      <c r="A311" s="36">
        <v>41403</v>
      </c>
      <c r="B311" s="121">
        <v>0.99645833333333333</v>
      </c>
      <c r="C311" s="26" t="s">
        <v>1217</v>
      </c>
    </row>
    <row r="312" spans="1:3" x14ac:dyDescent="0.25">
      <c r="A312" s="36">
        <v>41403</v>
      </c>
      <c r="B312" s="121">
        <v>0.99645833333333333</v>
      </c>
      <c r="C312" s="26" t="s">
        <v>1218</v>
      </c>
    </row>
    <row r="313" spans="1:3" x14ac:dyDescent="0.25">
      <c r="A313" s="36">
        <v>41403</v>
      </c>
      <c r="B313" s="121">
        <v>0.99645833333333333</v>
      </c>
      <c r="C313" s="26" t="s">
        <v>1219</v>
      </c>
    </row>
    <row r="314" spans="1:3" x14ac:dyDescent="0.25">
      <c r="A314" s="36">
        <v>41403</v>
      </c>
      <c r="B314" s="121">
        <v>0.99645833333333333</v>
      </c>
      <c r="C314" s="26" t="s">
        <v>1220</v>
      </c>
    </row>
    <row r="315" spans="1:3" x14ac:dyDescent="0.25">
      <c r="A315" s="36">
        <v>41403</v>
      </c>
      <c r="B315" s="121">
        <v>0.99645833333333333</v>
      </c>
      <c r="C315" s="26" t="s">
        <v>1221</v>
      </c>
    </row>
    <row r="316" spans="1:3" x14ac:dyDescent="0.25">
      <c r="A316" s="36">
        <v>41403</v>
      </c>
      <c r="B316" s="121">
        <v>0.99645833333333333</v>
      </c>
      <c r="C316" s="26" t="s">
        <v>1222</v>
      </c>
    </row>
    <row r="317" spans="1:3" x14ac:dyDescent="0.25">
      <c r="A317" s="36">
        <v>41403</v>
      </c>
      <c r="B317" s="121">
        <v>0.99645833333333333</v>
      </c>
      <c r="C317" s="26" t="s">
        <v>1214</v>
      </c>
    </row>
    <row r="318" spans="1:3" x14ac:dyDescent="0.25">
      <c r="A318" s="36">
        <v>41403</v>
      </c>
      <c r="B318" s="121">
        <v>0.99646990740740737</v>
      </c>
      <c r="C318" s="26" t="s">
        <v>1223</v>
      </c>
    </row>
    <row r="319" spans="1:3" x14ac:dyDescent="0.25">
      <c r="A319" s="36">
        <v>41403</v>
      </c>
      <c r="B319" s="121">
        <v>0.99646990740740737</v>
      </c>
      <c r="C319" s="26" t="s">
        <v>1223</v>
      </c>
    </row>
    <row r="320" spans="1:3" x14ac:dyDescent="0.25">
      <c r="A320" s="36">
        <v>41403</v>
      </c>
      <c r="B320" s="121">
        <v>0.99646990740740737</v>
      </c>
      <c r="C320" s="26" t="s">
        <v>1224</v>
      </c>
    </row>
    <row r="321" spans="1:3" x14ac:dyDescent="0.25">
      <c r="A321" s="36">
        <v>41403</v>
      </c>
      <c r="B321" s="121">
        <v>0.99646990740740737</v>
      </c>
      <c r="C321" s="26" t="s">
        <v>1219</v>
      </c>
    </row>
    <row r="322" spans="1:3" x14ac:dyDescent="0.25">
      <c r="A322" s="36">
        <v>41403</v>
      </c>
      <c r="B322" s="121">
        <v>0.99646990740740737</v>
      </c>
      <c r="C322" s="26" t="s">
        <v>1219</v>
      </c>
    </row>
    <row r="323" spans="1:3" x14ac:dyDescent="0.25">
      <c r="A323" s="36">
        <v>41403</v>
      </c>
      <c r="B323" s="121">
        <v>0.99646990740740737</v>
      </c>
      <c r="C323" s="26" t="s">
        <v>1225</v>
      </c>
    </row>
    <row r="324" spans="1:3" x14ac:dyDescent="0.25">
      <c r="A324" s="36">
        <v>41403</v>
      </c>
      <c r="B324" s="121">
        <v>0.99646990740740737</v>
      </c>
      <c r="C324" s="26" t="s">
        <v>1226</v>
      </c>
    </row>
    <row r="325" spans="1:3" x14ac:dyDescent="0.25">
      <c r="A325" s="36">
        <v>41403</v>
      </c>
      <c r="B325" s="121">
        <v>0.99646990740740737</v>
      </c>
      <c r="C325" s="26" t="s">
        <v>1226</v>
      </c>
    </row>
    <row r="326" spans="1:3" x14ac:dyDescent="0.25">
      <c r="A326" s="36">
        <v>41403</v>
      </c>
      <c r="B326" s="121">
        <v>0.99646990740740737</v>
      </c>
      <c r="C326" s="26" t="s">
        <v>1223</v>
      </c>
    </row>
    <row r="327" spans="1:3" x14ac:dyDescent="0.25">
      <c r="A327" s="36">
        <v>41403</v>
      </c>
      <c r="B327" s="121">
        <v>0.99646990740740737</v>
      </c>
      <c r="C327" s="26" t="s">
        <v>1227</v>
      </c>
    </row>
    <row r="328" spans="1:3" x14ac:dyDescent="0.25">
      <c r="A328" s="36">
        <v>41403</v>
      </c>
      <c r="B328" s="121">
        <v>0.99646990740740737</v>
      </c>
      <c r="C328" s="26" t="s">
        <v>1384</v>
      </c>
    </row>
    <row r="329" spans="1:3" x14ac:dyDescent="0.25">
      <c r="A329" s="36">
        <v>41403</v>
      </c>
      <c r="B329" s="121">
        <v>0.99689814814814814</v>
      </c>
      <c r="C329" s="26" t="s">
        <v>1178</v>
      </c>
    </row>
    <row r="330" spans="1:3" x14ac:dyDescent="0.25">
      <c r="A330" s="36">
        <v>41403</v>
      </c>
      <c r="B330" s="121">
        <v>0.99699074074074068</v>
      </c>
      <c r="C330" s="26" t="s">
        <v>1385</v>
      </c>
    </row>
    <row r="331" spans="1:3" x14ac:dyDescent="0.25">
      <c r="A331" s="36">
        <v>41404</v>
      </c>
      <c r="B331" s="121">
        <v>1.5706018518518518E-2</v>
      </c>
      <c r="C331" s="26" t="s">
        <v>1386</v>
      </c>
    </row>
    <row r="332" spans="1:3" ht="30" x14ac:dyDescent="0.25">
      <c r="A332" s="36">
        <v>41404</v>
      </c>
      <c r="B332" s="121">
        <v>1.5983796296296295E-2</v>
      </c>
      <c r="C332" s="831" t="s">
        <v>1387</v>
      </c>
    </row>
    <row r="333" spans="1:3" ht="45" x14ac:dyDescent="0.25">
      <c r="A333" s="36">
        <v>41404</v>
      </c>
      <c r="B333" s="121">
        <v>1.7037037037037038E-2</v>
      </c>
      <c r="C333" s="831" t="s">
        <v>1388</v>
      </c>
    </row>
    <row r="334" spans="1:3" x14ac:dyDescent="0.25">
      <c r="A334" s="36">
        <v>41404</v>
      </c>
      <c r="B334" s="121">
        <v>2.3622685185185188E-2</v>
      </c>
      <c r="C334" s="26" t="s">
        <v>1389</v>
      </c>
    </row>
    <row r="335" spans="1:3" ht="30" x14ac:dyDescent="0.25">
      <c r="A335" s="36">
        <v>41404</v>
      </c>
      <c r="B335" s="121">
        <v>2.388888888888889E-2</v>
      </c>
      <c r="C335" s="831" t="s">
        <v>1390</v>
      </c>
    </row>
    <row r="336" spans="1:3" ht="45" x14ac:dyDescent="0.25">
      <c r="A336" s="36">
        <v>41404</v>
      </c>
      <c r="B336" s="121">
        <v>2.5046296296296299E-2</v>
      </c>
      <c r="C336" s="831" t="s">
        <v>1391</v>
      </c>
    </row>
    <row r="337" spans="1:3" x14ac:dyDescent="0.25">
      <c r="A337" s="36">
        <v>41404</v>
      </c>
      <c r="B337" s="121">
        <v>2.5879629629629627E-2</v>
      </c>
      <c r="C337" s="26" t="s">
        <v>1392</v>
      </c>
    </row>
    <row r="338" spans="1:3" x14ac:dyDescent="0.25">
      <c r="A338" s="36">
        <v>41404</v>
      </c>
      <c r="B338" s="121">
        <v>2.6296296296296293E-2</v>
      </c>
      <c r="C338" s="26" t="s">
        <v>1393</v>
      </c>
    </row>
    <row r="339" spans="1:3" ht="30" x14ac:dyDescent="0.25">
      <c r="A339" s="36">
        <v>41404</v>
      </c>
      <c r="B339" s="121">
        <v>2.6365740740740742E-2</v>
      </c>
      <c r="C339" s="831" t="s">
        <v>1394</v>
      </c>
    </row>
    <row r="340" spans="1:3" ht="45" x14ac:dyDescent="0.25">
      <c r="A340" s="36">
        <v>41404</v>
      </c>
      <c r="B340" s="121">
        <v>2.6446759259259264E-2</v>
      </c>
      <c r="C340" s="831" t="s">
        <v>1395</v>
      </c>
    </row>
    <row r="341" spans="1:3" x14ac:dyDescent="0.25">
      <c r="A341" s="36">
        <v>41404</v>
      </c>
      <c r="B341" s="121">
        <v>3.1956018518518516E-2</v>
      </c>
      <c r="C341" s="26" t="s">
        <v>1396</v>
      </c>
    </row>
    <row r="342" spans="1:3" ht="30" x14ac:dyDescent="0.25">
      <c r="A342" s="36">
        <v>41404</v>
      </c>
      <c r="B342" s="121">
        <v>3.3298611111111112E-2</v>
      </c>
      <c r="C342" s="831" t="s">
        <v>1397</v>
      </c>
    </row>
    <row r="343" spans="1:3" ht="45" x14ac:dyDescent="0.25">
      <c r="A343" s="36">
        <v>41404</v>
      </c>
      <c r="B343" s="121">
        <v>3.4502314814814812E-2</v>
      </c>
      <c r="C343" s="831" t="s">
        <v>1398</v>
      </c>
    </row>
    <row r="344" spans="1:3" x14ac:dyDescent="0.25">
      <c r="A344" s="36">
        <v>41404</v>
      </c>
      <c r="B344" s="121">
        <v>3.6909722222222226E-2</v>
      </c>
      <c r="C344" s="26" t="s">
        <v>1229</v>
      </c>
    </row>
    <row r="345" spans="1:3" x14ac:dyDescent="0.25">
      <c r="A345" s="36">
        <v>41404</v>
      </c>
      <c r="B345" s="121">
        <v>3.6909722222222226E-2</v>
      </c>
      <c r="C345" s="26" t="s">
        <v>1230</v>
      </c>
    </row>
    <row r="346" spans="1:3" x14ac:dyDescent="0.25">
      <c r="A346" s="36">
        <v>41404</v>
      </c>
      <c r="B346" s="121">
        <v>3.6909722222222226E-2</v>
      </c>
      <c r="C346" s="26" t="s">
        <v>1231</v>
      </c>
    </row>
    <row r="347" spans="1:3" x14ac:dyDescent="0.25">
      <c r="A347" s="36">
        <v>41404</v>
      </c>
      <c r="B347" s="121">
        <v>3.6909722222222226E-2</v>
      </c>
      <c r="C347" s="26" t="s">
        <v>1232</v>
      </c>
    </row>
    <row r="348" spans="1:3" x14ac:dyDescent="0.25">
      <c r="A348" s="36">
        <v>41404</v>
      </c>
      <c r="B348" s="121">
        <v>3.6909722222222226E-2</v>
      </c>
      <c r="C348" s="26" t="s">
        <v>1233</v>
      </c>
    </row>
    <row r="349" spans="1:3" x14ac:dyDescent="0.25">
      <c r="A349" s="36">
        <v>41404</v>
      </c>
      <c r="B349" s="121">
        <v>3.6909722222222226E-2</v>
      </c>
      <c r="C349" s="26" t="s">
        <v>1234</v>
      </c>
    </row>
    <row r="350" spans="1:3" x14ac:dyDescent="0.25">
      <c r="A350" s="36">
        <v>41404</v>
      </c>
      <c r="B350" s="121">
        <v>3.6909722222222226E-2</v>
      </c>
      <c r="C350" s="26" t="s">
        <v>1235</v>
      </c>
    </row>
    <row r="351" spans="1:3" x14ac:dyDescent="0.25">
      <c r="A351" s="36">
        <v>41404</v>
      </c>
      <c r="B351" s="121">
        <v>3.6909722222222226E-2</v>
      </c>
      <c r="C351" s="26" t="s">
        <v>1236</v>
      </c>
    </row>
    <row r="352" spans="1:3" x14ac:dyDescent="0.25">
      <c r="A352" s="36">
        <v>41404</v>
      </c>
      <c r="B352" s="121">
        <v>3.6909722222222226E-2</v>
      </c>
      <c r="C352" s="26" t="s">
        <v>1237</v>
      </c>
    </row>
    <row r="353" spans="1:3" x14ac:dyDescent="0.25">
      <c r="A353" s="36">
        <v>41404</v>
      </c>
      <c r="B353" s="121">
        <v>3.6909722222222226E-2</v>
      </c>
      <c r="C353" s="26" t="s">
        <v>1238</v>
      </c>
    </row>
    <row r="354" spans="1:3" x14ac:dyDescent="0.25">
      <c r="A354" s="36">
        <v>41404</v>
      </c>
      <c r="B354" s="121">
        <v>3.6909722222222226E-2</v>
      </c>
      <c r="C354" s="26" t="s">
        <v>1239</v>
      </c>
    </row>
    <row r="355" spans="1:3" x14ac:dyDescent="0.25">
      <c r="A355" s="36">
        <v>41404</v>
      </c>
      <c r="B355" s="121">
        <v>3.6909722222222226E-2</v>
      </c>
      <c r="C355" s="26" t="s">
        <v>1241</v>
      </c>
    </row>
    <row r="356" spans="1:3" x14ac:dyDescent="0.25">
      <c r="A356" s="36">
        <v>41404</v>
      </c>
      <c r="B356" s="121">
        <v>3.6909722222222226E-2</v>
      </c>
      <c r="C356" s="26" t="s">
        <v>1240</v>
      </c>
    </row>
    <row r="357" spans="1:3" x14ac:dyDescent="0.25">
      <c r="A357" s="36">
        <v>41404</v>
      </c>
      <c r="B357" s="121">
        <v>3.6909722222222226E-2</v>
      </c>
      <c r="C357" s="26" t="s">
        <v>1242</v>
      </c>
    </row>
    <row r="358" spans="1:3" x14ac:dyDescent="0.25">
      <c r="A358" s="36">
        <v>41404</v>
      </c>
      <c r="B358" s="121">
        <v>3.6909722222222226E-2</v>
      </c>
      <c r="C358" s="26" t="s">
        <v>1243</v>
      </c>
    </row>
    <row r="359" spans="1:3" x14ac:dyDescent="0.25">
      <c r="A359" s="36">
        <v>41404</v>
      </c>
      <c r="B359" s="121">
        <v>3.6909722222222226E-2</v>
      </c>
      <c r="C359" s="26" t="s">
        <v>1245</v>
      </c>
    </row>
    <row r="360" spans="1:3" x14ac:dyDescent="0.25">
      <c r="A360" s="36">
        <v>41404</v>
      </c>
      <c r="B360" s="121">
        <v>3.6909722222222226E-2</v>
      </c>
      <c r="C360" s="26" t="s">
        <v>1244</v>
      </c>
    </row>
    <row r="361" spans="1:3" x14ac:dyDescent="0.25">
      <c r="A361" s="36">
        <v>41404</v>
      </c>
      <c r="B361" s="121">
        <v>3.6909722222222226E-2</v>
      </c>
      <c r="C361" s="26" t="s">
        <v>1233</v>
      </c>
    </row>
    <row r="362" spans="1:3" x14ac:dyDescent="0.25">
      <c r="A362" s="36">
        <v>41404</v>
      </c>
      <c r="B362" s="121">
        <v>3.6909722222222226E-2</v>
      </c>
      <c r="C362" s="26" t="s">
        <v>1247</v>
      </c>
    </row>
    <row r="363" spans="1:3" x14ac:dyDescent="0.25">
      <c r="A363" s="36">
        <v>41404</v>
      </c>
      <c r="B363" s="121">
        <v>3.6909722222222226E-2</v>
      </c>
      <c r="C363" s="26" t="s">
        <v>1249</v>
      </c>
    </row>
    <row r="364" spans="1:3" x14ac:dyDescent="0.25">
      <c r="A364" s="36">
        <v>41404</v>
      </c>
      <c r="B364" s="121">
        <v>3.6909722222222226E-2</v>
      </c>
      <c r="C364" s="26" t="s">
        <v>1248</v>
      </c>
    </row>
    <row r="365" spans="1:3" x14ac:dyDescent="0.25">
      <c r="A365" s="36">
        <v>41404</v>
      </c>
      <c r="B365" s="121">
        <v>3.6909722222222226E-2</v>
      </c>
      <c r="C365" s="26" t="s">
        <v>1250</v>
      </c>
    </row>
    <row r="366" spans="1:3" x14ac:dyDescent="0.25">
      <c r="A366" s="36">
        <v>41404</v>
      </c>
      <c r="B366" s="121">
        <v>3.6909722222222226E-2</v>
      </c>
      <c r="C366" s="26" t="s">
        <v>1251</v>
      </c>
    </row>
    <row r="367" spans="1:3" x14ac:dyDescent="0.25">
      <c r="A367" s="36">
        <v>41404</v>
      </c>
      <c r="B367" s="121">
        <v>3.6909722222222226E-2</v>
      </c>
      <c r="C367" s="26" t="s">
        <v>1252</v>
      </c>
    </row>
    <row r="368" spans="1:3" x14ac:dyDescent="0.25">
      <c r="A368" s="36">
        <v>41404</v>
      </c>
      <c r="B368" s="121">
        <v>3.6909722222222226E-2</v>
      </c>
      <c r="C368" s="26" t="s">
        <v>1253</v>
      </c>
    </row>
    <row r="369" spans="1:3" x14ac:dyDescent="0.25">
      <c r="A369" s="36">
        <v>41404</v>
      </c>
      <c r="B369" s="121">
        <v>3.6909722222222226E-2</v>
      </c>
      <c r="C369" s="26" t="s">
        <v>1254</v>
      </c>
    </row>
    <row r="370" spans="1:3" x14ac:dyDescent="0.25">
      <c r="A370" s="36">
        <v>41404</v>
      </c>
      <c r="B370" s="121">
        <v>3.6909722222222226E-2</v>
      </c>
      <c r="C370" s="26" t="s">
        <v>1255</v>
      </c>
    </row>
    <row r="371" spans="1:3" x14ac:dyDescent="0.25">
      <c r="A371" s="36">
        <v>41404</v>
      </c>
      <c r="B371" s="121">
        <v>3.6909722222222226E-2</v>
      </c>
      <c r="C371" s="26" t="s">
        <v>1236</v>
      </c>
    </row>
    <row r="372" spans="1:3" x14ac:dyDescent="0.25">
      <c r="A372" s="36">
        <v>41404</v>
      </c>
      <c r="B372" s="121">
        <v>3.6909722222222226E-2</v>
      </c>
      <c r="C372" s="26" t="s">
        <v>1257</v>
      </c>
    </row>
    <row r="373" spans="1:3" x14ac:dyDescent="0.25">
      <c r="A373" s="36">
        <v>41404</v>
      </c>
      <c r="B373" s="121">
        <v>3.6909722222222226E-2</v>
      </c>
      <c r="C373" s="26" t="s">
        <v>1258</v>
      </c>
    </row>
    <row r="374" spans="1:3" x14ac:dyDescent="0.25">
      <c r="A374" s="36">
        <v>41404</v>
      </c>
      <c r="B374" s="121">
        <v>3.6909722222222226E-2</v>
      </c>
      <c r="C374" s="26" t="s">
        <v>1259</v>
      </c>
    </row>
    <row r="375" spans="1:3" x14ac:dyDescent="0.25">
      <c r="A375" s="36">
        <v>41404</v>
      </c>
      <c r="B375" s="121">
        <v>3.6909722222222226E-2</v>
      </c>
      <c r="C375" s="26" t="s">
        <v>1260</v>
      </c>
    </row>
    <row r="376" spans="1:3" x14ac:dyDescent="0.25">
      <c r="A376" s="36">
        <v>41404</v>
      </c>
      <c r="B376" s="121">
        <v>3.6909722222222226E-2</v>
      </c>
      <c r="C376" s="26" t="s">
        <v>1260</v>
      </c>
    </row>
    <row r="377" spans="1:3" x14ac:dyDescent="0.25">
      <c r="A377" s="36">
        <v>41404</v>
      </c>
      <c r="B377" s="121">
        <v>3.6909722222222226E-2</v>
      </c>
      <c r="C377" s="26" t="s">
        <v>1261</v>
      </c>
    </row>
    <row r="378" spans="1:3" x14ac:dyDescent="0.25">
      <c r="A378" s="36">
        <v>41404</v>
      </c>
      <c r="B378" s="121">
        <v>3.6909722222222226E-2</v>
      </c>
      <c r="C378" s="26" t="s">
        <v>1260</v>
      </c>
    </row>
    <row r="379" spans="1:3" x14ac:dyDescent="0.25">
      <c r="A379" s="36">
        <v>41404</v>
      </c>
      <c r="B379" s="121">
        <v>3.6909722222222226E-2</v>
      </c>
      <c r="C379" s="26" t="s">
        <v>1260</v>
      </c>
    </row>
    <row r="380" spans="1:3" x14ac:dyDescent="0.25">
      <c r="A380" s="36">
        <v>41404</v>
      </c>
      <c r="B380" s="121">
        <v>3.6909722222222226E-2</v>
      </c>
      <c r="C380" s="26" t="s">
        <v>1236</v>
      </c>
    </row>
    <row r="381" spans="1:3" x14ac:dyDescent="0.25">
      <c r="A381" s="36">
        <v>41404</v>
      </c>
      <c r="B381" s="121">
        <v>3.6909722222222226E-2</v>
      </c>
      <c r="C381" s="26" t="s">
        <v>1262</v>
      </c>
    </row>
    <row r="382" spans="1:3" x14ac:dyDescent="0.25">
      <c r="A382" s="36">
        <v>41404</v>
      </c>
      <c r="B382" s="121">
        <v>3.6909722222222226E-2</v>
      </c>
      <c r="C382" s="26" t="s">
        <v>1254</v>
      </c>
    </row>
    <row r="383" spans="1:3" x14ac:dyDescent="0.25">
      <c r="A383" s="36">
        <v>41404</v>
      </c>
      <c r="B383" s="121">
        <v>3.6909722222222226E-2</v>
      </c>
      <c r="C383" s="26" t="s">
        <v>1254</v>
      </c>
    </row>
    <row r="384" spans="1:3" x14ac:dyDescent="0.25">
      <c r="A384" s="36">
        <v>41404</v>
      </c>
      <c r="B384" s="121">
        <v>3.6909722222222226E-2</v>
      </c>
      <c r="C384" s="26" t="s">
        <v>1263</v>
      </c>
    </row>
    <row r="385" spans="1:3" x14ac:dyDescent="0.25">
      <c r="A385" s="36">
        <v>41404</v>
      </c>
      <c r="B385" s="121">
        <v>3.6909722222222226E-2</v>
      </c>
      <c r="C385" s="26" t="s">
        <v>1254</v>
      </c>
    </row>
    <row r="386" spans="1:3" x14ac:dyDescent="0.25">
      <c r="A386" s="36">
        <v>41404</v>
      </c>
      <c r="B386" s="121">
        <v>3.6909722222222226E-2</v>
      </c>
      <c r="C386" s="26" t="s">
        <v>1252</v>
      </c>
    </row>
    <row r="387" spans="1:3" x14ac:dyDescent="0.25">
      <c r="A387" s="36">
        <v>41404</v>
      </c>
      <c r="B387" s="121">
        <v>3.6909722222222226E-2</v>
      </c>
      <c r="C387" s="26" t="s">
        <v>1264</v>
      </c>
    </row>
    <row r="388" spans="1:3" x14ac:dyDescent="0.25">
      <c r="A388" s="36">
        <v>41404</v>
      </c>
      <c r="B388" s="121">
        <v>3.6909722222222226E-2</v>
      </c>
      <c r="C388" s="26" t="s">
        <v>1260</v>
      </c>
    </row>
    <row r="389" spans="1:3" x14ac:dyDescent="0.25">
      <c r="A389" s="36">
        <v>41404</v>
      </c>
      <c r="B389" s="121">
        <v>3.6909722222222226E-2</v>
      </c>
      <c r="C389" s="26" t="s">
        <v>1265</v>
      </c>
    </row>
    <row r="390" spans="1:3" x14ac:dyDescent="0.25">
      <c r="A390" s="36">
        <v>41404</v>
      </c>
      <c r="B390" s="121">
        <v>3.6909722222222226E-2</v>
      </c>
      <c r="C390" s="26" t="s">
        <v>1266</v>
      </c>
    </row>
    <row r="391" spans="1:3" x14ac:dyDescent="0.25">
      <c r="A391" s="36">
        <v>41404</v>
      </c>
      <c r="B391" s="121">
        <v>3.6909722222222226E-2</v>
      </c>
      <c r="C391" s="26" t="s">
        <v>1260</v>
      </c>
    </row>
    <row r="392" spans="1:3" x14ac:dyDescent="0.25">
      <c r="A392" s="36">
        <v>41404</v>
      </c>
      <c r="B392" s="121">
        <v>3.6909722222222226E-2</v>
      </c>
      <c r="C392" s="26" t="s">
        <v>1267</v>
      </c>
    </row>
    <row r="393" spans="1:3" x14ac:dyDescent="0.25">
      <c r="A393" s="36">
        <v>41404</v>
      </c>
      <c r="B393" s="121">
        <v>3.6909722222222226E-2</v>
      </c>
      <c r="C393" s="26" t="s">
        <v>1268</v>
      </c>
    </row>
    <row r="394" spans="1:3" x14ac:dyDescent="0.25">
      <c r="A394" s="36">
        <v>41404</v>
      </c>
      <c r="B394" s="121">
        <v>3.6909722222222226E-2</v>
      </c>
      <c r="C394" s="26" t="s">
        <v>1269</v>
      </c>
    </row>
    <row r="395" spans="1:3" x14ac:dyDescent="0.25">
      <c r="A395" s="36">
        <v>41404</v>
      </c>
      <c r="B395" s="121">
        <v>3.6909722222222226E-2</v>
      </c>
      <c r="C395" s="26" t="s">
        <v>1270</v>
      </c>
    </row>
    <row r="396" spans="1:3" x14ac:dyDescent="0.25">
      <c r="A396" s="36">
        <v>41404</v>
      </c>
      <c r="B396" s="121">
        <v>3.6909722222222226E-2</v>
      </c>
      <c r="C396" s="26" t="s">
        <v>1272</v>
      </c>
    </row>
    <row r="397" spans="1:3" x14ac:dyDescent="0.25">
      <c r="A397" s="36">
        <v>41404</v>
      </c>
      <c r="B397" s="121">
        <v>3.6909722222222226E-2</v>
      </c>
      <c r="C397" s="26" t="s">
        <v>1271</v>
      </c>
    </row>
    <row r="398" spans="1:3" x14ac:dyDescent="0.25">
      <c r="A398" s="36">
        <v>41404</v>
      </c>
      <c r="B398" s="121">
        <v>3.6909722222222226E-2</v>
      </c>
      <c r="C398" s="26" t="s">
        <v>1273</v>
      </c>
    </row>
    <row r="399" spans="1:3" x14ac:dyDescent="0.25">
      <c r="A399" s="36">
        <v>41404</v>
      </c>
      <c r="B399" s="121">
        <v>3.6909722222222226E-2</v>
      </c>
      <c r="C399" s="26" t="s">
        <v>1274</v>
      </c>
    </row>
    <row r="400" spans="1:3" x14ac:dyDescent="0.25">
      <c r="A400" s="36">
        <v>41404</v>
      </c>
      <c r="B400" s="121">
        <v>3.6909722222222226E-2</v>
      </c>
      <c r="C400" s="26" t="s">
        <v>1275</v>
      </c>
    </row>
    <row r="401" spans="1:3" x14ac:dyDescent="0.25">
      <c r="A401" s="36">
        <v>41404</v>
      </c>
      <c r="B401" s="121">
        <v>3.6909722222222226E-2</v>
      </c>
      <c r="C401" s="26" t="s">
        <v>1276</v>
      </c>
    </row>
    <row r="402" spans="1:3" x14ac:dyDescent="0.25">
      <c r="A402" s="36">
        <v>41404</v>
      </c>
      <c r="B402" s="121">
        <v>3.6909722222222226E-2</v>
      </c>
      <c r="C402" s="26" t="s">
        <v>1277</v>
      </c>
    </row>
    <row r="403" spans="1:3" x14ac:dyDescent="0.25">
      <c r="A403" s="36">
        <v>41404</v>
      </c>
      <c r="B403" s="121">
        <v>3.6909722222222226E-2</v>
      </c>
      <c r="C403" s="26" t="s">
        <v>1260</v>
      </c>
    </row>
    <row r="404" spans="1:3" x14ac:dyDescent="0.25">
      <c r="A404" s="36">
        <v>41404</v>
      </c>
      <c r="B404" s="121">
        <v>3.6909722222222226E-2</v>
      </c>
      <c r="C404" s="26" t="s">
        <v>1278</v>
      </c>
    </row>
    <row r="405" spans="1:3" x14ac:dyDescent="0.25">
      <c r="A405" s="36">
        <v>41404</v>
      </c>
      <c r="B405" s="121">
        <v>3.6909722222222226E-2</v>
      </c>
      <c r="C405" s="26" t="s">
        <v>1277</v>
      </c>
    </row>
    <row r="406" spans="1:3" x14ac:dyDescent="0.25">
      <c r="A406" s="36">
        <v>41404</v>
      </c>
      <c r="B406" s="121">
        <v>3.6909722222222226E-2</v>
      </c>
      <c r="C406" s="26" t="s">
        <v>1277</v>
      </c>
    </row>
    <row r="407" spans="1:3" x14ac:dyDescent="0.25">
      <c r="A407" s="36">
        <v>41404</v>
      </c>
      <c r="B407" s="121">
        <v>3.6909722222222226E-2</v>
      </c>
      <c r="C407" s="26" t="s">
        <v>1277</v>
      </c>
    </row>
    <row r="408" spans="1:3" x14ac:dyDescent="0.25">
      <c r="A408" s="36">
        <v>41404</v>
      </c>
      <c r="B408" s="121">
        <v>3.6909722222222226E-2</v>
      </c>
      <c r="C408" s="26" t="s">
        <v>1284</v>
      </c>
    </row>
    <row r="409" spans="1:3" x14ac:dyDescent="0.25">
      <c r="A409" s="36">
        <v>41404</v>
      </c>
      <c r="B409" s="121">
        <v>3.6909722222222226E-2</v>
      </c>
      <c r="C409" s="26" t="s">
        <v>1280</v>
      </c>
    </row>
    <row r="410" spans="1:3" x14ac:dyDescent="0.25">
      <c r="A410" s="36">
        <v>41404</v>
      </c>
      <c r="B410" s="121">
        <v>3.6909722222222226E-2</v>
      </c>
      <c r="C410" s="26" t="s">
        <v>1282</v>
      </c>
    </row>
    <row r="411" spans="1:3" x14ac:dyDescent="0.25">
      <c r="A411" s="36">
        <v>41404</v>
      </c>
      <c r="B411" s="121">
        <v>3.6909722222222226E-2</v>
      </c>
      <c r="C411" s="26" t="s">
        <v>1284</v>
      </c>
    </row>
    <row r="412" spans="1:3" x14ac:dyDescent="0.25">
      <c r="A412" s="36">
        <v>41404</v>
      </c>
      <c r="B412" s="121">
        <v>3.6909722222222226E-2</v>
      </c>
      <c r="C412" s="26" t="s">
        <v>1283</v>
      </c>
    </row>
    <row r="413" spans="1:3" x14ac:dyDescent="0.25">
      <c r="A413" s="36">
        <v>41404</v>
      </c>
      <c r="B413" s="121">
        <v>3.6909722222222226E-2</v>
      </c>
      <c r="C413" s="26" t="s">
        <v>1281</v>
      </c>
    </row>
    <row r="414" spans="1:3" x14ac:dyDescent="0.25">
      <c r="A414" s="36">
        <v>41404</v>
      </c>
      <c r="B414" s="121">
        <v>3.6909722222222226E-2</v>
      </c>
      <c r="C414" s="26" t="s">
        <v>1285</v>
      </c>
    </row>
    <row r="415" spans="1:3" x14ac:dyDescent="0.25">
      <c r="A415" s="36">
        <v>41404</v>
      </c>
      <c r="B415" s="121">
        <v>3.6909722222222226E-2</v>
      </c>
      <c r="C415" s="26" t="s">
        <v>1286</v>
      </c>
    </row>
    <row r="416" spans="1:3" x14ac:dyDescent="0.25">
      <c r="A416" s="36">
        <v>41404</v>
      </c>
      <c r="B416" s="121">
        <v>3.6909722222222226E-2</v>
      </c>
      <c r="C416" s="26" t="s">
        <v>1287</v>
      </c>
    </row>
    <row r="417" spans="1:3" x14ac:dyDescent="0.25">
      <c r="A417" s="36">
        <v>41404</v>
      </c>
      <c r="B417" s="121">
        <v>3.6909722222222226E-2</v>
      </c>
      <c r="C417" s="26" t="s">
        <v>1288</v>
      </c>
    </row>
    <row r="418" spans="1:3" x14ac:dyDescent="0.25">
      <c r="A418" s="36">
        <v>41404</v>
      </c>
      <c r="B418" s="121">
        <v>3.6909722222222226E-2</v>
      </c>
      <c r="C418" s="26" t="s">
        <v>1291</v>
      </c>
    </row>
    <row r="419" spans="1:3" x14ac:dyDescent="0.25">
      <c r="A419" s="36">
        <v>41404</v>
      </c>
      <c r="B419" s="121">
        <v>3.6909722222222226E-2</v>
      </c>
      <c r="C419" s="26" t="s">
        <v>1263</v>
      </c>
    </row>
    <row r="420" spans="1:3" x14ac:dyDescent="0.25">
      <c r="A420" s="36">
        <v>41404</v>
      </c>
      <c r="B420" s="121">
        <v>3.6909722222222226E-2</v>
      </c>
      <c r="C420" s="26" t="s">
        <v>1289</v>
      </c>
    </row>
    <row r="421" spans="1:3" x14ac:dyDescent="0.25">
      <c r="A421" s="36">
        <v>41404</v>
      </c>
      <c r="B421" s="121">
        <v>3.6909722222222226E-2</v>
      </c>
      <c r="C421" s="26" t="s">
        <v>1290</v>
      </c>
    </row>
    <row r="422" spans="1:3" x14ac:dyDescent="0.25">
      <c r="A422" s="36">
        <v>41404</v>
      </c>
      <c r="B422" s="121">
        <v>3.6909722222222226E-2</v>
      </c>
      <c r="C422" s="26" t="s">
        <v>1293</v>
      </c>
    </row>
    <row r="423" spans="1:3" x14ac:dyDescent="0.25">
      <c r="A423" s="36">
        <v>41404</v>
      </c>
      <c r="B423" s="121">
        <v>3.6909722222222226E-2</v>
      </c>
      <c r="C423" s="26" t="s">
        <v>1294</v>
      </c>
    </row>
    <row r="424" spans="1:3" x14ac:dyDescent="0.25">
      <c r="A424" s="36">
        <v>41404</v>
      </c>
      <c r="B424" s="121">
        <v>3.6909722222222226E-2</v>
      </c>
      <c r="C424" s="26" t="s">
        <v>1295</v>
      </c>
    </row>
    <row r="425" spans="1:3" x14ac:dyDescent="0.25">
      <c r="A425" s="36">
        <v>41404</v>
      </c>
      <c r="B425" s="121">
        <v>3.6909722222222226E-2</v>
      </c>
      <c r="C425" s="26" t="s">
        <v>1297</v>
      </c>
    </row>
    <row r="426" spans="1:3" x14ac:dyDescent="0.25">
      <c r="A426" s="36">
        <v>41404</v>
      </c>
      <c r="B426" s="121">
        <v>3.6909722222222226E-2</v>
      </c>
      <c r="C426" s="26" t="s">
        <v>1299</v>
      </c>
    </row>
    <row r="427" spans="1:3" x14ac:dyDescent="0.25">
      <c r="A427" s="36">
        <v>41404</v>
      </c>
      <c r="B427" s="121">
        <v>3.6909722222222226E-2</v>
      </c>
      <c r="C427" s="26" t="s">
        <v>1300</v>
      </c>
    </row>
    <row r="428" spans="1:3" x14ac:dyDescent="0.25">
      <c r="A428" s="36">
        <v>41404</v>
      </c>
      <c r="B428" s="121">
        <v>3.6909722222222226E-2</v>
      </c>
      <c r="C428" s="26" t="s">
        <v>1267</v>
      </c>
    </row>
    <row r="429" spans="1:3" x14ac:dyDescent="0.25">
      <c r="A429" s="36">
        <v>41404</v>
      </c>
      <c r="B429" s="121">
        <v>3.6909722222222226E-2</v>
      </c>
      <c r="C429" s="26" t="s">
        <v>1301</v>
      </c>
    </row>
    <row r="430" spans="1:3" x14ac:dyDescent="0.25">
      <c r="A430" s="36">
        <v>41404</v>
      </c>
      <c r="B430" s="121">
        <v>3.6909722222222226E-2</v>
      </c>
      <c r="C430" s="26" t="s">
        <v>1302</v>
      </c>
    </row>
    <row r="431" spans="1:3" x14ac:dyDescent="0.25">
      <c r="A431" s="36">
        <v>41404</v>
      </c>
      <c r="B431" s="121">
        <v>3.6909722222222226E-2</v>
      </c>
      <c r="C431" s="26" t="s">
        <v>1303</v>
      </c>
    </row>
    <row r="432" spans="1:3" x14ac:dyDescent="0.25">
      <c r="A432" s="36">
        <v>41404</v>
      </c>
      <c r="B432" s="121">
        <v>3.6909722222222226E-2</v>
      </c>
      <c r="C432" s="26" t="s">
        <v>1304</v>
      </c>
    </row>
    <row r="433" spans="1:3" x14ac:dyDescent="0.25">
      <c r="A433" s="36">
        <v>41404</v>
      </c>
      <c r="B433" s="121">
        <v>3.6909722222222226E-2</v>
      </c>
      <c r="C433" s="26" t="s">
        <v>1252</v>
      </c>
    </row>
    <row r="434" spans="1:3" x14ac:dyDescent="0.25">
      <c r="A434" s="36">
        <v>41404</v>
      </c>
      <c r="B434" s="121">
        <v>3.6909722222222226E-2</v>
      </c>
      <c r="C434" s="26" t="s">
        <v>1305</v>
      </c>
    </row>
    <row r="435" spans="1:3" x14ac:dyDescent="0.25">
      <c r="A435" s="36">
        <v>41404</v>
      </c>
      <c r="B435" s="121">
        <v>3.6909722222222226E-2</v>
      </c>
      <c r="C435" s="26" t="s">
        <v>1306</v>
      </c>
    </row>
    <row r="436" spans="1:3" x14ac:dyDescent="0.25">
      <c r="A436" s="36">
        <v>41404</v>
      </c>
      <c r="B436" s="121">
        <v>3.6909722222222226E-2</v>
      </c>
      <c r="C436" s="26" t="s">
        <v>1307</v>
      </c>
    </row>
    <row r="437" spans="1:3" x14ac:dyDescent="0.25">
      <c r="A437" s="36">
        <v>41404</v>
      </c>
      <c r="B437" s="121">
        <v>3.6909722222222226E-2</v>
      </c>
      <c r="C437" s="26" t="s">
        <v>1290</v>
      </c>
    </row>
    <row r="438" spans="1:3" x14ac:dyDescent="0.25">
      <c r="A438" s="36">
        <v>41404</v>
      </c>
      <c r="B438" s="121">
        <v>3.6909722222222226E-2</v>
      </c>
      <c r="C438" s="26" t="s">
        <v>1308</v>
      </c>
    </row>
    <row r="439" spans="1:3" x14ac:dyDescent="0.25">
      <c r="A439" s="36">
        <v>41404</v>
      </c>
      <c r="B439" s="121">
        <v>3.6909722222222226E-2</v>
      </c>
      <c r="C439" s="26" t="s">
        <v>1308</v>
      </c>
    </row>
    <row r="440" spans="1:3" x14ac:dyDescent="0.25">
      <c r="A440" s="36">
        <v>41404</v>
      </c>
      <c r="B440" s="121">
        <v>3.6909722222222226E-2</v>
      </c>
      <c r="C440" s="26" t="s">
        <v>1309</v>
      </c>
    </row>
    <row r="441" spans="1:3" x14ac:dyDescent="0.25">
      <c r="A441" s="36">
        <v>41404</v>
      </c>
      <c r="B441" s="121">
        <v>3.6909722222222226E-2</v>
      </c>
      <c r="C441" s="26" t="s">
        <v>1303</v>
      </c>
    </row>
    <row r="442" spans="1:3" x14ac:dyDescent="0.25">
      <c r="A442" s="36">
        <v>41404</v>
      </c>
      <c r="B442" s="121">
        <v>3.6909722222222226E-2</v>
      </c>
      <c r="C442" s="26" t="s">
        <v>1310</v>
      </c>
    </row>
    <row r="443" spans="1:3" x14ac:dyDescent="0.25">
      <c r="A443" s="36">
        <v>41404</v>
      </c>
      <c r="B443" s="121">
        <v>3.6909722222222226E-2</v>
      </c>
      <c r="C443" s="26" t="s">
        <v>1311</v>
      </c>
    </row>
    <row r="444" spans="1:3" x14ac:dyDescent="0.25">
      <c r="A444" s="36">
        <v>41404</v>
      </c>
      <c r="B444" s="121">
        <v>3.6909722222222226E-2</v>
      </c>
      <c r="C444" s="26" t="s">
        <v>1312</v>
      </c>
    </row>
    <row r="445" spans="1:3" x14ac:dyDescent="0.25">
      <c r="A445" s="36">
        <v>41404</v>
      </c>
      <c r="B445" s="121">
        <v>3.6909722222222226E-2</v>
      </c>
      <c r="C445" s="26" t="s">
        <v>1273</v>
      </c>
    </row>
    <row r="446" spans="1:3" x14ac:dyDescent="0.25">
      <c r="A446" s="36">
        <v>41404</v>
      </c>
      <c r="B446" s="121">
        <v>3.6909722222222226E-2</v>
      </c>
      <c r="C446" s="26" t="s">
        <v>1313</v>
      </c>
    </row>
    <row r="447" spans="1:3" x14ac:dyDescent="0.25">
      <c r="A447" s="36">
        <v>41404</v>
      </c>
      <c r="B447" s="121">
        <v>3.6909722222222226E-2</v>
      </c>
      <c r="C447" s="26" t="s">
        <v>1314</v>
      </c>
    </row>
    <row r="448" spans="1:3" x14ac:dyDescent="0.25">
      <c r="A448" s="36">
        <v>41404</v>
      </c>
      <c r="B448" s="121">
        <v>3.6909722222222226E-2</v>
      </c>
      <c r="C448" s="26" t="s">
        <v>1315</v>
      </c>
    </row>
    <row r="449" spans="1:3" x14ac:dyDescent="0.25">
      <c r="A449" s="36">
        <v>41404</v>
      </c>
      <c r="B449" s="121">
        <v>3.6909722222222226E-2</v>
      </c>
      <c r="C449" s="26" t="s">
        <v>1316</v>
      </c>
    </row>
    <row r="450" spans="1:3" x14ac:dyDescent="0.25">
      <c r="A450" s="36">
        <v>41404</v>
      </c>
      <c r="B450" s="121">
        <v>3.6909722222222226E-2</v>
      </c>
      <c r="C450" s="26" t="s">
        <v>1310</v>
      </c>
    </row>
    <row r="451" spans="1:3" x14ac:dyDescent="0.25">
      <c r="A451" s="36">
        <v>41404</v>
      </c>
      <c r="B451" s="121">
        <v>3.6909722222222226E-2</v>
      </c>
      <c r="C451" s="26" t="s">
        <v>1254</v>
      </c>
    </row>
    <row r="452" spans="1:3" x14ac:dyDescent="0.25">
      <c r="A452" s="36">
        <v>41404</v>
      </c>
      <c r="B452" s="121">
        <v>3.6909722222222226E-2</v>
      </c>
      <c r="C452" s="26" t="s">
        <v>1254</v>
      </c>
    </row>
    <row r="453" spans="1:3" x14ac:dyDescent="0.25">
      <c r="A453" s="36">
        <v>41404</v>
      </c>
      <c r="B453" s="121">
        <v>3.6909722222222226E-2</v>
      </c>
      <c r="C453" s="26" t="s">
        <v>1317</v>
      </c>
    </row>
    <row r="454" spans="1:3" x14ac:dyDescent="0.25">
      <c r="A454" s="36">
        <v>41404</v>
      </c>
      <c r="B454" s="121">
        <v>3.6909722222222226E-2</v>
      </c>
      <c r="C454" s="26" t="s">
        <v>1254</v>
      </c>
    </row>
    <row r="455" spans="1:3" x14ac:dyDescent="0.25">
      <c r="A455" s="36">
        <v>41404</v>
      </c>
      <c r="B455" s="121">
        <v>3.6909722222222226E-2</v>
      </c>
      <c r="C455" s="26" t="s">
        <v>1318</v>
      </c>
    </row>
    <row r="456" spans="1:3" x14ac:dyDescent="0.25">
      <c r="A456" s="36">
        <v>41404</v>
      </c>
      <c r="B456" s="121">
        <v>3.6909722222222226E-2</v>
      </c>
      <c r="C456" s="26" t="s">
        <v>1319</v>
      </c>
    </row>
    <row r="457" spans="1:3" x14ac:dyDescent="0.25">
      <c r="A457" s="36">
        <v>41404</v>
      </c>
      <c r="B457" s="121">
        <v>3.6909722222222226E-2</v>
      </c>
      <c r="C457" s="26" t="s">
        <v>1265</v>
      </c>
    </row>
    <row r="458" spans="1:3" x14ac:dyDescent="0.25">
      <c r="A458" s="36">
        <v>41404</v>
      </c>
      <c r="B458" s="121">
        <v>3.6909722222222226E-2</v>
      </c>
      <c r="C458" s="26" t="s">
        <v>1322</v>
      </c>
    </row>
    <row r="459" spans="1:3" x14ac:dyDescent="0.25">
      <c r="A459" s="36">
        <v>41404</v>
      </c>
      <c r="B459" s="121">
        <v>3.6909722222222226E-2</v>
      </c>
      <c r="C459" s="26" t="s">
        <v>1323</v>
      </c>
    </row>
    <row r="460" spans="1:3" x14ac:dyDescent="0.25">
      <c r="A460" s="36">
        <v>41404</v>
      </c>
      <c r="B460" s="121">
        <v>3.6909722222222226E-2</v>
      </c>
      <c r="C460" s="26" t="s">
        <v>1324</v>
      </c>
    </row>
    <row r="461" spans="1:3" x14ac:dyDescent="0.25">
      <c r="A461" s="36">
        <v>41404</v>
      </c>
      <c r="B461" s="121">
        <v>3.6909722222222226E-2</v>
      </c>
      <c r="C461" s="26" t="s">
        <v>1267</v>
      </c>
    </row>
    <row r="462" spans="1:3" x14ac:dyDescent="0.25">
      <c r="A462" s="36">
        <v>41404</v>
      </c>
      <c r="B462" s="121">
        <v>3.6909722222222226E-2</v>
      </c>
      <c r="C462" s="26" t="s">
        <v>1325</v>
      </c>
    </row>
    <row r="463" spans="1:3" x14ac:dyDescent="0.25">
      <c r="A463" s="36">
        <v>41404</v>
      </c>
      <c r="B463" s="121">
        <v>3.6909722222222226E-2</v>
      </c>
      <c r="C463" s="26" t="s">
        <v>1326</v>
      </c>
    </row>
    <row r="464" spans="1:3" x14ac:dyDescent="0.25">
      <c r="A464" s="36">
        <v>41404</v>
      </c>
      <c r="B464" s="121">
        <v>3.6909722222222226E-2</v>
      </c>
      <c r="C464" s="26" t="s">
        <v>1327</v>
      </c>
    </row>
    <row r="465" spans="1:3" x14ac:dyDescent="0.25">
      <c r="A465" s="36">
        <v>41404</v>
      </c>
      <c r="B465" s="121">
        <v>3.6909722222222226E-2</v>
      </c>
      <c r="C465" s="26" t="s">
        <v>1328</v>
      </c>
    </row>
    <row r="466" spans="1:3" x14ac:dyDescent="0.25">
      <c r="A466" s="36">
        <v>41404</v>
      </c>
      <c r="B466" s="121">
        <v>3.6909722222222226E-2</v>
      </c>
      <c r="C466" s="26" t="s">
        <v>1329</v>
      </c>
    </row>
    <row r="467" spans="1:3" x14ac:dyDescent="0.25">
      <c r="A467" s="36">
        <v>41404</v>
      </c>
      <c r="B467" s="121">
        <v>3.6909722222222226E-2</v>
      </c>
      <c r="C467" s="26" t="s">
        <v>1329</v>
      </c>
    </row>
    <row r="468" spans="1:3" x14ac:dyDescent="0.25">
      <c r="A468" s="36">
        <v>41404</v>
      </c>
      <c r="B468" s="121">
        <v>3.6909722222222226E-2</v>
      </c>
      <c r="C468" s="26" t="s">
        <v>1330</v>
      </c>
    </row>
    <row r="469" spans="1:3" x14ac:dyDescent="0.25">
      <c r="A469" s="36">
        <v>41404</v>
      </c>
      <c r="B469" s="121">
        <v>3.6909722222222226E-2</v>
      </c>
      <c r="C469" s="26" t="s">
        <v>1262</v>
      </c>
    </row>
    <row r="470" spans="1:3" x14ac:dyDescent="0.25">
      <c r="A470" s="36">
        <v>41404</v>
      </c>
      <c r="B470" s="121">
        <v>3.6909722222222226E-2</v>
      </c>
      <c r="C470" s="26" t="s">
        <v>1331</v>
      </c>
    </row>
    <row r="471" spans="1:3" x14ac:dyDescent="0.25">
      <c r="A471" s="36">
        <v>41404</v>
      </c>
      <c r="B471" s="121">
        <v>3.6909722222222226E-2</v>
      </c>
      <c r="C471" s="26" t="s">
        <v>1332</v>
      </c>
    </row>
    <row r="472" spans="1:3" x14ac:dyDescent="0.25">
      <c r="A472" s="36">
        <v>41404</v>
      </c>
      <c r="B472" s="121">
        <v>3.6909722222222226E-2</v>
      </c>
      <c r="C472" s="26" t="s">
        <v>1332</v>
      </c>
    </row>
    <row r="473" spans="1:3" x14ac:dyDescent="0.25">
      <c r="A473" s="36">
        <v>41404</v>
      </c>
      <c r="B473" s="121">
        <v>3.6909722222222226E-2</v>
      </c>
      <c r="C473" s="26" t="s">
        <v>1333</v>
      </c>
    </row>
    <row r="474" spans="1:3" x14ac:dyDescent="0.25">
      <c r="A474" s="36">
        <v>41404</v>
      </c>
      <c r="B474" s="121">
        <v>3.6909722222222226E-2</v>
      </c>
      <c r="C474" s="26" t="s">
        <v>1335</v>
      </c>
    </row>
    <row r="475" spans="1:3" x14ac:dyDescent="0.25">
      <c r="A475" s="36">
        <v>41404</v>
      </c>
      <c r="B475" s="121">
        <v>3.6909722222222226E-2</v>
      </c>
      <c r="C475" s="26" t="s">
        <v>1334</v>
      </c>
    </row>
    <row r="476" spans="1:3" x14ac:dyDescent="0.25">
      <c r="A476" s="36">
        <v>41404</v>
      </c>
      <c r="B476" s="121">
        <v>3.6909722222222226E-2</v>
      </c>
      <c r="C476" s="26" t="s">
        <v>1337</v>
      </c>
    </row>
    <row r="477" spans="1:3" x14ac:dyDescent="0.25">
      <c r="A477" s="36">
        <v>41404</v>
      </c>
      <c r="B477" s="121">
        <v>3.6909722222222226E-2</v>
      </c>
      <c r="C477" s="26" t="s">
        <v>1336</v>
      </c>
    </row>
    <row r="478" spans="1:3" x14ac:dyDescent="0.25">
      <c r="A478" s="36">
        <v>41404</v>
      </c>
      <c r="B478" s="121">
        <v>3.6909722222222226E-2</v>
      </c>
      <c r="C478" s="26" t="s">
        <v>1338</v>
      </c>
    </row>
    <row r="479" spans="1:3" x14ac:dyDescent="0.25">
      <c r="A479" s="36">
        <v>41404</v>
      </c>
      <c r="B479" s="121">
        <v>3.6909722222222226E-2</v>
      </c>
      <c r="C479" s="26" t="s">
        <v>1337</v>
      </c>
    </row>
    <row r="480" spans="1:3" x14ac:dyDescent="0.25">
      <c r="A480" s="36">
        <v>41404</v>
      </c>
      <c r="B480" s="121">
        <v>3.6909722222222226E-2</v>
      </c>
      <c r="C480" s="26" t="s">
        <v>1339</v>
      </c>
    </row>
    <row r="481" spans="1:3" x14ac:dyDescent="0.25">
      <c r="A481" s="36">
        <v>41404</v>
      </c>
      <c r="B481" s="121">
        <v>3.6909722222222226E-2</v>
      </c>
      <c r="C481" s="26" t="s">
        <v>1340</v>
      </c>
    </row>
    <row r="482" spans="1:3" x14ac:dyDescent="0.25">
      <c r="A482" s="36">
        <v>41404</v>
      </c>
      <c r="B482" s="121">
        <v>3.6909722222222226E-2</v>
      </c>
      <c r="C482" s="26" t="s">
        <v>1340</v>
      </c>
    </row>
    <row r="483" spans="1:3" x14ac:dyDescent="0.25">
      <c r="A483" s="36">
        <v>41404</v>
      </c>
      <c r="B483" s="121">
        <v>3.6909722222222226E-2</v>
      </c>
      <c r="C483" s="26" t="s">
        <v>1265</v>
      </c>
    </row>
    <row r="484" spans="1:3" x14ac:dyDescent="0.25">
      <c r="A484" s="36">
        <v>41404</v>
      </c>
      <c r="B484" s="121">
        <v>3.6909722222222226E-2</v>
      </c>
      <c r="C484" s="26" t="s">
        <v>1338</v>
      </c>
    </row>
    <row r="485" spans="1:3" x14ac:dyDescent="0.25">
      <c r="A485" s="36">
        <v>41404</v>
      </c>
      <c r="B485" s="121">
        <v>3.6909722222222226E-2</v>
      </c>
      <c r="C485" s="26" t="s">
        <v>1252</v>
      </c>
    </row>
    <row r="486" spans="1:3" x14ac:dyDescent="0.25">
      <c r="A486" s="36">
        <v>41404</v>
      </c>
      <c r="B486" s="121">
        <v>3.6909722222222226E-2</v>
      </c>
      <c r="C486" s="26" t="s">
        <v>1341</v>
      </c>
    </row>
    <row r="487" spans="1:3" x14ac:dyDescent="0.25">
      <c r="A487" s="36">
        <v>41404</v>
      </c>
      <c r="B487" s="121">
        <v>3.6909722222222226E-2</v>
      </c>
      <c r="C487" s="26" t="s">
        <v>1342</v>
      </c>
    </row>
    <row r="488" spans="1:3" x14ac:dyDescent="0.25">
      <c r="A488" s="36">
        <v>41404</v>
      </c>
      <c r="B488" s="121">
        <v>3.6909722222222226E-2</v>
      </c>
      <c r="C488" s="26" t="s">
        <v>1343</v>
      </c>
    </row>
    <row r="489" spans="1:3" x14ac:dyDescent="0.25">
      <c r="A489" s="36">
        <v>41404</v>
      </c>
      <c r="B489" s="121">
        <v>3.6909722222222226E-2</v>
      </c>
      <c r="C489" s="26" t="s">
        <v>1345</v>
      </c>
    </row>
    <row r="490" spans="1:3" x14ac:dyDescent="0.25">
      <c r="A490" s="36">
        <v>41404</v>
      </c>
      <c r="B490" s="121">
        <v>3.6909722222222226E-2</v>
      </c>
      <c r="C490" s="26" t="s">
        <v>1332</v>
      </c>
    </row>
    <row r="491" spans="1:3" x14ac:dyDescent="0.25">
      <c r="A491" s="36">
        <v>41404</v>
      </c>
      <c r="B491" s="121">
        <v>3.6909722222222226E-2</v>
      </c>
      <c r="C491" s="26" t="s">
        <v>1344</v>
      </c>
    </row>
    <row r="492" spans="1:3" x14ac:dyDescent="0.25">
      <c r="A492" s="36">
        <v>41404</v>
      </c>
      <c r="B492" s="121">
        <v>3.6909722222222226E-2</v>
      </c>
      <c r="C492" s="26" t="s">
        <v>1315</v>
      </c>
    </row>
    <row r="493" spans="1:3" x14ac:dyDescent="0.25">
      <c r="A493" s="36">
        <v>41404</v>
      </c>
      <c r="B493" s="121">
        <v>3.6909722222222226E-2</v>
      </c>
      <c r="C493" s="26" t="s">
        <v>1346</v>
      </c>
    </row>
    <row r="494" spans="1:3" x14ac:dyDescent="0.25">
      <c r="A494" s="36">
        <v>41404</v>
      </c>
      <c r="B494" s="121">
        <v>3.6909722222222226E-2</v>
      </c>
      <c r="C494" s="26" t="s">
        <v>1347</v>
      </c>
    </row>
    <row r="495" spans="1:3" x14ac:dyDescent="0.25">
      <c r="A495" s="36">
        <v>41404</v>
      </c>
      <c r="B495" s="121">
        <v>3.6909722222222226E-2</v>
      </c>
      <c r="C495" s="26" t="s">
        <v>1348</v>
      </c>
    </row>
    <row r="496" spans="1:3" x14ac:dyDescent="0.25">
      <c r="A496" s="36">
        <v>41404</v>
      </c>
      <c r="B496" s="121">
        <v>3.6909722222222226E-2</v>
      </c>
      <c r="C496" s="26" t="s">
        <v>1314</v>
      </c>
    </row>
    <row r="497" spans="1:3" x14ac:dyDescent="0.25">
      <c r="A497" s="36">
        <v>41404</v>
      </c>
      <c r="B497" s="121">
        <v>3.6909722222222226E-2</v>
      </c>
      <c r="C497" s="26" t="s">
        <v>1350</v>
      </c>
    </row>
    <row r="498" spans="1:3" x14ac:dyDescent="0.25">
      <c r="A498" s="36">
        <v>41404</v>
      </c>
      <c r="B498" s="121">
        <v>3.6909722222222226E-2</v>
      </c>
      <c r="C498" s="26" t="s">
        <v>1349</v>
      </c>
    </row>
    <row r="499" spans="1:3" x14ac:dyDescent="0.25">
      <c r="A499" s="36">
        <v>41404</v>
      </c>
      <c r="B499" s="121">
        <v>3.6909722222222226E-2</v>
      </c>
      <c r="C499" s="26" t="s">
        <v>1337</v>
      </c>
    </row>
    <row r="500" spans="1:3" x14ac:dyDescent="0.25">
      <c r="A500" s="36">
        <v>41404</v>
      </c>
      <c r="B500" s="121">
        <v>3.6909722222222226E-2</v>
      </c>
      <c r="C500" s="26" t="s">
        <v>1351</v>
      </c>
    </row>
    <row r="501" spans="1:3" x14ac:dyDescent="0.25">
      <c r="A501" s="36">
        <v>41404</v>
      </c>
      <c r="B501" s="121">
        <v>3.6909722222222226E-2</v>
      </c>
      <c r="C501" s="26" t="s">
        <v>1352</v>
      </c>
    </row>
    <row r="502" spans="1:3" x14ac:dyDescent="0.25">
      <c r="A502" s="36">
        <v>41404</v>
      </c>
      <c r="B502" s="121">
        <v>3.6909722222222226E-2</v>
      </c>
      <c r="C502" s="26" t="s">
        <v>1354</v>
      </c>
    </row>
    <row r="503" spans="1:3" x14ac:dyDescent="0.25">
      <c r="A503" s="36">
        <v>41404</v>
      </c>
      <c r="B503" s="121">
        <v>3.6921296296296292E-2</v>
      </c>
      <c r="C503" s="26" t="s">
        <v>1399</v>
      </c>
    </row>
    <row r="504" spans="1:3" x14ac:dyDescent="0.25">
      <c r="A504" s="36">
        <v>41404</v>
      </c>
      <c r="B504" s="121">
        <v>3.7696759259259256E-2</v>
      </c>
      <c r="C504" s="26" t="s">
        <v>1400</v>
      </c>
    </row>
    <row r="505" spans="1:3" x14ac:dyDescent="0.25">
      <c r="A505" s="36">
        <v>41404</v>
      </c>
      <c r="B505" s="121">
        <v>3.7696759259259256E-2</v>
      </c>
      <c r="C505" s="26" t="s">
        <v>1400</v>
      </c>
    </row>
    <row r="506" spans="1:3" x14ac:dyDescent="0.25">
      <c r="A506" s="36">
        <v>41404</v>
      </c>
      <c r="B506" s="121">
        <v>3.7696759259259256E-2</v>
      </c>
      <c r="C506" s="26" t="s">
        <v>1401</v>
      </c>
    </row>
    <row r="507" spans="1:3" x14ac:dyDescent="0.25">
      <c r="A507" s="36">
        <v>41404</v>
      </c>
      <c r="B507" s="121">
        <v>3.7696759259259256E-2</v>
      </c>
      <c r="C507" s="26" t="s">
        <v>1402</v>
      </c>
    </row>
    <row r="508" spans="1:3" x14ac:dyDescent="0.25">
      <c r="A508" s="36">
        <v>41404</v>
      </c>
      <c r="B508" s="121">
        <v>3.7696759259259256E-2</v>
      </c>
      <c r="C508" s="26" t="s">
        <v>1403</v>
      </c>
    </row>
    <row r="509" spans="1:3" x14ac:dyDescent="0.25">
      <c r="A509" s="36">
        <v>41404</v>
      </c>
      <c r="B509" s="121">
        <v>3.770833333333333E-2</v>
      </c>
      <c r="C509" s="26" t="s">
        <v>1401</v>
      </c>
    </row>
    <row r="510" spans="1:3" x14ac:dyDescent="0.25">
      <c r="A510" s="36">
        <v>41404</v>
      </c>
      <c r="B510" s="121">
        <v>3.770833333333333E-2</v>
      </c>
      <c r="C510" s="26" t="s">
        <v>1401</v>
      </c>
    </row>
    <row r="511" spans="1:3" x14ac:dyDescent="0.25">
      <c r="A511" s="36">
        <v>41404</v>
      </c>
      <c r="B511" s="121">
        <v>3.770833333333333E-2</v>
      </c>
      <c r="C511" s="26" t="s">
        <v>1403</v>
      </c>
    </row>
    <row r="512" spans="1:3" x14ac:dyDescent="0.25">
      <c r="A512" s="36">
        <v>41404</v>
      </c>
      <c r="B512" s="121">
        <v>3.770833333333333E-2</v>
      </c>
      <c r="C512" s="26" t="s">
        <v>1404</v>
      </c>
    </row>
    <row r="513" spans="1:3" x14ac:dyDescent="0.25">
      <c r="A513" s="36">
        <v>41404</v>
      </c>
      <c r="B513" s="121">
        <v>3.770833333333333E-2</v>
      </c>
      <c r="C513" s="26" t="s">
        <v>1405</v>
      </c>
    </row>
    <row r="514" spans="1:3" x14ac:dyDescent="0.25">
      <c r="A514" s="36">
        <v>41404</v>
      </c>
      <c r="B514" s="121">
        <v>3.770833333333333E-2</v>
      </c>
      <c r="C514" s="26" t="s">
        <v>1406</v>
      </c>
    </row>
    <row r="515" spans="1:3" x14ac:dyDescent="0.25">
      <c r="A515" s="36">
        <v>41404</v>
      </c>
      <c r="B515" s="121">
        <v>3.770833333333333E-2</v>
      </c>
      <c r="C515" s="26" t="s">
        <v>1405</v>
      </c>
    </row>
    <row r="516" spans="1:3" x14ac:dyDescent="0.25">
      <c r="A516" s="36">
        <v>41404</v>
      </c>
      <c r="B516" s="121">
        <v>3.770833333333333E-2</v>
      </c>
      <c r="C516" s="26" t="s">
        <v>1405</v>
      </c>
    </row>
    <row r="517" spans="1:3" x14ac:dyDescent="0.25">
      <c r="A517" s="36">
        <v>41404</v>
      </c>
      <c r="B517" s="121">
        <v>3.771990740740741E-2</v>
      </c>
      <c r="C517" s="26" t="s">
        <v>1407</v>
      </c>
    </row>
    <row r="518" spans="1:3" x14ac:dyDescent="0.25">
      <c r="A518" s="36">
        <v>41404</v>
      </c>
      <c r="B518" s="121">
        <v>3.771990740740741E-2</v>
      </c>
      <c r="C518" s="26" t="s">
        <v>1408</v>
      </c>
    </row>
    <row r="519" spans="1:3" x14ac:dyDescent="0.25">
      <c r="A519" s="36">
        <v>41404</v>
      </c>
      <c r="B519" s="121">
        <v>3.771990740740741E-2</v>
      </c>
      <c r="C519" s="26" t="s">
        <v>1408</v>
      </c>
    </row>
    <row r="520" spans="1:3" x14ac:dyDescent="0.25">
      <c r="A520" s="36">
        <v>41404</v>
      </c>
      <c r="B520" s="121">
        <v>3.771990740740741E-2</v>
      </c>
      <c r="C520" s="26" t="s">
        <v>1409</v>
      </c>
    </row>
    <row r="521" spans="1:3" x14ac:dyDescent="0.25">
      <c r="A521" s="36">
        <v>41404</v>
      </c>
      <c r="B521" s="121">
        <v>3.771990740740741E-2</v>
      </c>
      <c r="C521" s="26" t="s">
        <v>1410</v>
      </c>
    </row>
    <row r="522" spans="1:3" x14ac:dyDescent="0.25">
      <c r="A522" s="36">
        <v>41404</v>
      </c>
      <c r="B522" s="121">
        <v>3.771990740740741E-2</v>
      </c>
      <c r="C522" s="26" t="s">
        <v>1411</v>
      </c>
    </row>
    <row r="523" spans="1:3" x14ac:dyDescent="0.25">
      <c r="A523" s="36">
        <v>41404</v>
      </c>
      <c r="B523" s="121">
        <v>3.771990740740741E-2</v>
      </c>
      <c r="C523" s="26" t="s">
        <v>1412</v>
      </c>
    </row>
    <row r="524" spans="1:3" x14ac:dyDescent="0.25">
      <c r="A524" s="36">
        <v>41404</v>
      </c>
      <c r="B524" s="121">
        <v>3.771990740740741E-2</v>
      </c>
      <c r="C524" s="26" t="s">
        <v>1405</v>
      </c>
    </row>
    <row r="525" spans="1:3" x14ac:dyDescent="0.25">
      <c r="A525" s="36">
        <v>41404</v>
      </c>
      <c r="B525" s="121">
        <v>3.771990740740741E-2</v>
      </c>
      <c r="C525" s="26" t="s">
        <v>1408</v>
      </c>
    </row>
    <row r="526" spans="1:3" x14ac:dyDescent="0.25">
      <c r="A526" s="36">
        <v>41404</v>
      </c>
      <c r="B526" s="121">
        <v>3.771990740740741E-2</v>
      </c>
      <c r="C526" s="26" t="s">
        <v>1411</v>
      </c>
    </row>
    <row r="527" spans="1:3" x14ac:dyDescent="0.25">
      <c r="A527" s="36">
        <v>41404</v>
      </c>
      <c r="B527" s="121">
        <v>3.771990740740741E-2</v>
      </c>
      <c r="C527" s="26" t="s">
        <v>1408</v>
      </c>
    </row>
    <row r="528" spans="1:3" x14ac:dyDescent="0.25">
      <c r="A528" s="36">
        <v>41404</v>
      </c>
      <c r="B528" s="121">
        <v>3.771990740740741E-2</v>
      </c>
      <c r="C528" s="26" t="s">
        <v>1411</v>
      </c>
    </row>
    <row r="529" spans="1:3" x14ac:dyDescent="0.25">
      <c r="A529" s="36">
        <v>41404</v>
      </c>
      <c r="B529" s="121">
        <v>3.771990740740741E-2</v>
      </c>
      <c r="C529" s="26" t="s">
        <v>1411</v>
      </c>
    </row>
    <row r="530" spans="1:3" x14ac:dyDescent="0.25">
      <c r="A530" s="36">
        <v>41404</v>
      </c>
      <c r="B530" s="121">
        <v>3.771990740740741E-2</v>
      </c>
      <c r="C530" s="26" t="s">
        <v>1410</v>
      </c>
    </row>
    <row r="531" spans="1:3" x14ac:dyDescent="0.25">
      <c r="A531" s="36">
        <v>41404</v>
      </c>
      <c r="B531" s="121">
        <v>3.771990740740741E-2</v>
      </c>
      <c r="C531" s="26" t="s">
        <v>1413</v>
      </c>
    </row>
    <row r="532" spans="1:3" x14ac:dyDescent="0.25">
      <c r="A532" s="36">
        <v>41404</v>
      </c>
      <c r="B532" s="121">
        <v>3.771990740740741E-2</v>
      </c>
      <c r="C532" s="26" t="s">
        <v>1401</v>
      </c>
    </row>
    <row r="533" spans="1:3" x14ac:dyDescent="0.25">
      <c r="A533" s="36">
        <v>41404</v>
      </c>
      <c r="B533" s="121">
        <v>3.771990740740741E-2</v>
      </c>
      <c r="C533" s="26" t="s">
        <v>1408</v>
      </c>
    </row>
    <row r="534" spans="1:3" x14ac:dyDescent="0.25">
      <c r="A534" s="36">
        <v>41404</v>
      </c>
      <c r="B534" s="121">
        <v>3.771990740740741E-2</v>
      </c>
      <c r="C534" s="26" t="s">
        <v>1412</v>
      </c>
    </row>
    <row r="535" spans="1:3" x14ac:dyDescent="0.25">
      <c r="A535" s="36">
        <v>41404</v>
      </c>
      <c r="B535" s="121">
        <v>3.771990740740741E-2</v>
      </c>
      <c r="C535" s="26" t="s">
        <v>1412</v>
      </c>
    </row>
    <row r="536" spans="1:3" x14ac:dyDescent="0.25">
      <c r="A536" s="36">
        <v>41404</v>
      </c>
      <c r="B536" s="121">
        <v>3.771990740740741E-2</v>
      </c>
      <c r="C536" s="26" t="s">
        <v>1408</v>
      </c>
    </row>
    <row r="537" spans="1:3" x14ac:dyDescent="0.25">
      <c r="A537" s="36">
        <v>41404</v>
      </c>
      <c r="B537" s="121">
        <v>3.771990740740741E-2</v>
      </c>
      <c r="C537" s="26" t="s">
        <v>1414</v>
      </c>
    </row>
    <row r="538" spans="1:3" x14ac:dyDescent="0.25">
      <c r="A538" s="36">
        <v>41404</v>
      </c>
      <c r="B538" s="121">
        <v>3.771990740740741E-2</v>
      </c>
      <c r="C538" s="26" t="s">
        <v>1415</v>
      </c>
    </row>
    <row r="539" spans="1:3" x14ac:dyDescent="0.25">
      <c r="A539" s="36">
        <v>41404</v>
      </c>
      <c r="B539" s="121">
        <v>3.771990740740741E-2</v>
      </c>
      <c r="C539" s="26" t="s">
        <v>1411</v>
      </c>
    </row>
    <row r="540" spans="1:3" x14ac:dyDescent="0.25">
      <c r="A540" s="36">
        <v>41404</v>
      </c>
      <c r="B540" s="121">
        <v>3.771990740740741E-2</v>
      </c>
      <c r="C540" s="26" t="s">
        <v>1416</v>
      </c>
    </row>
    <row r="541" spans="1:3" x14ac:dyDescent="0.25">
      <c r="A541" s="36">
        <v>41404</v>
      </c>
      <c r="B541" s="121">
        <v>3.771990740740741E-2</v>
      </c>
      <c r="C541" s="26" t="s">
        <v>1416</v>
      </c>
    </row>
    <row r="542" spans="1:3" x14ac:dyDescent="0.25">
      <c r="A542" s="36">
        <v>41404</v>
      </c>
      <c r="B542" s="121">
        <v>3.771990740740741E-2</v>
      </c>
      <c r="C542" s="26" t="s">
        <v>1417</v>
      </c>
    </row>
    <row r="543" spans="1:3" x14ac:dyDescent="0.25">
      <c r="A543" s="36">
        <v>41404</v>
      </c>
      <c r="B543" s="121">
        <v>3.7731481481481484E-2</v>
      </c>
      <c r="C543" s="26" t="s">
        <v>1403</v>
      </c>
    </row>
    <row r="544" spans="1:3" x14ac:dyDescent="0.25">
      <c r="A544" s="36">
        <v>41404</v>
      </c>
      <c r="B544" s="121">
        <v>3.7731481481481484E-2</v>
      </c>
      <c r="C544" s="26" t="s">
        <v>1418</v>
      </c>
    </row>
    <row r="545" spans="1:3" ht="30" x14ac:dyDescent="0.25">
      <c r="A545" s="36">
        <v>41404</v>
      </c>
      <c r="B545" s="121">
        <v>3.7731481481481484E-2</v>
      </c>
      <c r="C545" s="831" t="s">
        <v>1419</v>
      </c>
    </row>
    <row r="546" spans="1:3" x14ac:dyDescent="0.25">
      <c r="A546" s="36">
        <v>41404</v>
      </c>
      <c r="B546" s="121">
        <v>3.7731481481481484E-2</v>
      </c>
      <c r="C546" s="26" t="s">
        <v>1420</v>
      </c>
    </row>
    <row r="547" spans="1:3" x14ac:dyDescent="0.25">
      <c r="A547" s="36">
        <v>41404</v>
      </c>
      <c r="B547" s="121">
        <v>3.788194444444444E-2</v>
      </c>
      <c r="C547" s="26" t="s">
        <v>1400</v>
      </c>
    </row>
    <row r="548" spans="1:3" x14ac:dyDescent="0.25">
      <c r="A548" s="36">
        <v>41404</v>
      </c>
      <c r="B548" s="121">
        <v>3.788194444444444E-2</v>
      </c>
      <c r="C548" s="26" t="s">
        <v>1400</v>
      </c>
    </row>
    <row r="549" spans="1:3" x14ac:dyDescent="0.25">
      <c r="A549" s="36">
        <v>41404</v>
      </c>
      <c r="B549" s="121">
        <v>3.788194444444444E-2</v>
      </c>
      <c r="C549" s="26" t="s">
        <v>1401</v>
      </c>
    </row>
    <row r="550" spans="1:3" x14ac:dyDescent="0.25">
      <c r="A550" s="36">
        <v>41404</v>
      </c>
      <c r="B550" s="121">
        <v>3.788194444444444E-2</v>
      </c>
      <c r="C550" s="26" t="s">
        <v>1402</v>
      </c>
    </row>
    <row r="551" spans="1:3" x14ac:dyDescent="0.25">
      <c r="A551" s="36">
        <v>41404</v>
      </c>
      <c r="B551" s="121">
        <v>3.788194444444444E-2</v>
      </c>
      <c r="C551" s="26" t="s">
        <v>1403</v>
      </c>
    </row>
    <row r="552" spans="1:3" x14ac:dyDescent="0.25">
      <c r="A552" s="36">
        <v>41404</v>
      </c>
      <c r="B552" s="121">
        <v>3.788194444444444E-2</v>
      </c>
      <c r="C552" s="26" t="s">
        <v>1401</v>
      </c>
    </row>
    <row r="553" spans="1:3" x14ac:dyDescent="0.25">
      <c r="A553" s="36">
        <v>41404</v>
      </c>
      <c r="B553" s="121">
        <v>3.788194444444444E-2</v>
      </c>
      <c r="C553" s="26" t="s">
        <v>1401</v>
      </c>
    </row>
    <row r="554" spans="1:3" x14ac:dyDescent="0.25">
      <c r="A554" s="36">
        <v>41404</v>
      </c>
      <c r="B554" s="121">
        <v>3.7893518518518521E-2</v>
      </c>
      <c r="C554" s="26" t="s">
        <v>1403</v>
      </c>
    </row>
    <row r="555" spans="1:3" x14ac:dyDescent="0.25">
      <c r="A555" s="36">
        <v>41404</v>
      </c>
      <c r="B555" s="121">
        <v>3.7893518518518521E-2</v>
      </c>
      <c r="C555" s="26" t="s">
        <v>1404</v>
      </c>
    </row>
    <row r="556" spans="1:3" x14ac:dyDescent="0.25">
      <c r="A556" s="36">
        <v>41404</v>
      </c>
      <c r="B556" s="121">
        <v>3.7893518518518521E-2</v>
      </c>
      <c r="C556" s="26" t="s">
        <v>1405</v>
      </c>
    </row>
    <row r="557" spans="1:3" x14ac:dyDescent="0.25">
      <c r="A557" s="36">
        <v>41404</v>
      </c>
      <c r="B557" s="121">
        <v>3.7893518518518521E-2</v>
      </c>
      <c r="C557" s="26" t="s">
        <v>1406</v>
      </c>
    </row>
    <row r="558" spans="1:3" x14ac:dyDescent="0.25">
      <c r="A558" s="36">
        <v>41404</v>
      </c>
      <c r="B558" s="121">
        <v>3.7893518518518521E-2</v>
      </c>
      <c r="C558" s="26" t="s">
        <v>1405</v>
      </c>
    </row>
    <row r="559" spans="1:3" x14ac:dyDescent="0.25">
      <c r="A559" s="36">
        <v>41404</v>
      </c>
      <c r="B559" s="121">
        <v>3.7893518518518521E-2</v>
      </c>
      <c r="C559" s="26" t="s">
        <v>1405</v>
      </c>
    </row>
    <row r="560" spans="1:3" x14ac:dyDescent="0.25">
      <c r="A560" s="36">
        <v>41404</v>
      </c>
      <c r="B560" s="121">
        <v>3.7905092592592594E-2</v>
      </c>
      <c r="C560" s="26" t="s">
        <v>1407</v>
      </c>
    </row>
    <row r="561" spans="1:3" x14ac:dyDescent="0.25">
      <c r="A561" s="36">
        <v>41404</v>
      </c>
      <c r="B561" s="121">
        <v>3.7905092592592594E-2</v>
      </c>
      <c r="C561" s="26" t="s">
        <v>1408</v>
      </c>
    </row>
    <row r="562" spans="1:3" x14ac:dyDescent="0.25">
      <c r="A562" s="36">
        <v>41404</v>
      </c>
      <c r="B562" s="121">
        <v>3.7905092592592594E-2</v>
      </c>
      <c r="C562" s="26" t="s">
        <v>1408</v>
      </c>
    </row>
    <row r="563" spans="1:3" x14ac:dyDescent="0.25">
      <c r="A563" s="36">
        <v>41404</v>
      </c>
      <c r="B563" s="121">
        <v>3.7905092592592594E-2</v>
      </c>
      <c r="C563" s="26" t="s">
        <v>1409</v>
      </c>
    </row>
    <row r="564" spans="1:3" x14ac:dyDescent="0.25">
      <c r="A564" s="36">
        <v>41404</v>
      </c>
      <c r="B564" s="121">
        <v>3.7905092592592594E-2</v>
      </c>
      <c r="C564" s="26" t="s">
        <v>1410</v>
      </c>
    </row>
    <row r="565" spans="1:3" x14ac:dyDescent="0.25">
      <c r="A565" s="36">
        <v>41404</v>
      </c>
      <c r="B565" s="121">
        <v>3.7905092592592594E-2</v>
      </c>
      <c r="C565" s="26" t="s">
        <v>1411</v>
      </c>
    </row>
    <row r="566" spans="1:3" x14ac:dyDescent="0.25">
      <c r="A566" s="36">
        <v>41404</v>
      </c>
      <c r="B566" s="121">
        <v>3.7905092592592594E-2</v>
      </c>
      <c r="C566" s="26" t="s">
        <v>1412</v>
      </c>
    </row>
    <row r="567" spans="1:3" x14ac:dyDescent="0.25">
      <c r="A567" s="36">
        <v>41404</v>
      </c>
      <c r="B567" s="121">
        <v>3.7905092592592594E-2</v>
      </c>
      <c r="C567" s="26" t="s">
        <v>1405</v>
      </c>
    </row>
    <row r="568" spans="1:3" x14ac:dyDescent="0.25">
      <c r="A568" s="36">
        <v>41404</v>
      </c>
      <c r="B568" s="121">
        <v>3.7905092592592594E-2</v>
      </c>
      <c r="C568" s="26" t="s">
        <v>1408</v>
      </c>
    </row>
    <row r="569" spans="1:3" x14ac:dyDescent="0.25">
      <c r="A569" s="36">
        <v>41404</v>
      </c>
      <c r="B569" s="121">
        <v>3.7905092592592594E-2</v>
      </c>
      <c r="C569" s="26" t="s">
        <v>1411</v>
      </c>
    </row>
    <row r="570" spans="1:3" x14ac:dyDescent="0.25">
      <c r="A570" s="36">
        <v>41404</v>
      </c>
      <c r="B570" s="121">
        <v>3.7905092592592594E-2</v>
      </c>
      <c r="C570" s="26" t="s">
        <v>1408</v>
      </c>
    </row>
    <row r="571" spans="1:3" x14ac:dyDescent="0.25">
      <c r="A571" s="36">
        <v>41404</v>
      </c>
      <c r="B571" s="121">
        <v>3.7905092592592594E-2</v>
      </c>
      <c r="C571" s="26" t="s">
        <v>1411</v>
      </c>
    </row>
    <row r="572" spans="1:3" x14ac:dyDescent="0.25">
      <c r="A572" s="36">
        <v>41404</v>
      </c>
      <c r="B572" s="121">
        <v>3.7905092592592594E-2</v>
      </c>
      <c r="C572" s="26" t="s">
        <v>1411</v>
      </c>
    </row>
    <row r="573" spans="1:3" x14ac:dyDescent="0.25">
      <c r="A573" s="36">
        <v>41404</v>
      </c>
      <c r="B573" s="121">
        <v>3.7905092592592594E-2</v>
      </c>
      <c r="C573" s="26" t="s">
        <v>1410</v>
      </c>
    </row>
    <row r="574" spans="1:3" x14ac:dyDescent="0.25">
      <c r="A574" s="36">
        <v>41404</v>
      </c>
      <c r="B574" s="121">
        <v>3.7905092592592594E-2</v>
      </c>
      <c r="C574" s="26" t="s">
        <v>1413</v>
      </c>
    </row>
    <row r="575" spans="1:3" x14ac:dyDescent="0.25">
      <c r="A575" s="36">
        <v>41404</v>
      </c>
      <c r="B575" s="121">
        <v>3.7905092592592594E-2</v>
      </c>
      <c r="C575" s="26" t="s">
        <v>1401</v>
      </c>
    </row>
    <row r="576" spans="1:3" x14ac:dyDescent="0.25">
      <c r="A576" s="36">
        <v>41404</v>
      </c>
      <c r="B576" s="121">
        <v>3.7905092592592594E-2</v>
      </c>
      <c r="C576" s="26" t="s">
        <v>1408</v>
      </c>
    </row>
    <row r="577" spans="1:3" x14ac:dyDescent="0.25">
      <c r="A577" s="36">
        <v>41404</v>
      </c>
      <c r="B577" s="121">
        <v>3.7905092592592594E-2</v>
      </c>
      <c r="C577" s="26" t="s">
        <v>1412</v>
      </c>
    </row>
    <row r="578" spans="1:3" x14ac:dyDescent="0.25">
      <c r="A578" s="36">
        <v>41404</v>
      </c>
      <c r="B578" s="121">
        <v>3.7905092592592594E-2</v>
      </c>
      <c r="C578" s="26" t="s">
        <v>1412</v>
      </c>
    </row>
    <row r="579" spans="1:3" x14ac:dyDescent="0.25">
      <c r="A579" s="36">
        <v>41404</v>
      </c>
      <c r="B579" s="121">
        <v>3.7905092592592594E-2</v>
      </c>
      <c r="C579" s="26" t="s">
        <v>1408</v>
      </c>
    </row>
    <row r="580" spans="1:3" x14ac:dyDescent="0.25">
      <c r="A580" s="36">
        <v>41404</v>
      </c>
      <c r="B580" s="121">
        <v>3.7905092592592594E-2</v>
      </c>
      <c r="C580" s="26" t="s">
        <v>1414</v>
      </c>
    </row>
    <row r="581" spans="1:3" x14ac:dyDescent="0.25">
      <c r="A581" s="36">
        <v>41404</v>
      </c>
      <c r="B581" s="121">
        <v>3.7905092592592594E-2</v>
      </c>
      <c r="C581" s="26" t="s">
        <v>1415</v>
      </c>
    </row>
    <row r="582" spans="1:3" x14ac:dyDescent="0.25">
      <c r="A582" s="36">
        <v>41404</v>
      </c>
      <c r="B582" s="121">
        <v>3.7905092592592594E-2</v>
      </c>
      <c r="C582" s="26" t="s">
        <v>1411</v>
      </c>
    </row>
    <row r="583" spans="1:3" x14ac:dyDescent="0.25">
      <c r="A583" s="36">
        <v>41404</v>
      </c>
      <c r="B583" s="121">
        <v>3.7905092592592594E-2</v>
      </c>
      <c r="C583" s="26" t="s">
        <v>1416</v>
      </c>
    </row>
    <row r="584" spans="1:3" x14ac:dyDescent="0.25">
      <c r="A584" s="36">
        <v>41404</v>
      </c>
      <c r="B584" s="121">
        <v>3.7905092592592594E-2</v>
      </c>
      <c r="C584" s="26" t="s">
        <v>1416</v>
      </c>
    </row>
    <row r="585" spans="1:3" x14ac:dyDescent="0.25">
      <c r="A585" s="36">
        <v>41404</v>
      </c>
      <c r="B585" s="121">
        <v>3.7905092592592594E-2</v>
      </c>
      <c r="C585" s="26" t="s">
        <v>1417</v>
      </c>
    </row>
    <row r="586" spans="1:3" x14ac:dyDescent="0.25">
      <c r="A586" s="36">
        <v>41404</v>
      </c>
      <c r="B586" s="121">
        <v>3.7905092592592594E-2</v>
      </c>
      <c r="C586" s="26" t="s">
        <v>1403</v>
      </c>
    </row>
    <row r="587" spans="1:3" x14ac:dyDescent="0.25">
      <c r="A587" s="36">
        <v>41404</v>
      </c>
      <c r="B587" s="121">
        <v>3.7905092592592594E-2</v>
      </c>
      <c r="C587" s="26" t="s">
        <v>1418</v>
      </c>
    </row>
    <row r="588" spans="1:3" ht="30" x14ac:dyDescent="0.25">
      <c r="A588" s="36">
        <v>41404</v>
      </c>
      <c r="B588" s="121">
        <v>3.7916666666666668E-2</v>
      </c>
      <c r="C588" s="831" t="s">
        <v>1421</v>
      </c>
    </row>
    <row r="589" spans="1:3" x14ac:dyDescent="0.25">
      <c r="A589" s="36">
        <v>41404</v>
      </c>
      <c r="B589" s="121">
        <v>3.7916666666666668E-2</v>
      </c>
      <c r="C589" s="26" t="s">
        <v>1422</v>
      </c>
    </row>
    <row r="590" spans="1:3" x14ac:dyDescent="0.25">
      <c r="A590" s="36">
        <v>41407</v>
      </c>
      <c r="B590" s="121">
        <v>0.59616898148148145</v>
      </c>
      <c r="C590" s="26" t="s">
        <v>1423</v>
      </c>
    </row>
    <row r="591" spans="1:3" x14ac:dyDescent="0.25">
      <c r="A591" s="36">
        <v>41407</v>
      </c>
      <c r="B591" s="121">
        <v>0.64640046296296294</v>
      </c>
      <c r="C591" s="26" t="s">
        <v>1396</v>
      </c>
    </row>
    <row r="592" spans="1:3" ht="30" x14ac:dyDescent="0.25">
      <c r="A592" s="36">
        <v>41407</v>
      </c>
      <c r="B592" s="121">
        <v>0.64670138888888895</v>
      </c>
      <c r="C592" s="831" t="s">
        <v>1424</v>
      </c>
    </row>
    <row r="593" spans="1:3" ht="45" x14ac:dyDescent="0.25">
      <c r="A593" s="36">
        <v>41407</v>
      </c>
      <c r="B593" s="121">
        <v>0.64739583333333328</v>
      </c>
      <c r="C593" s="831" t="s">
        <v>1425</v>
      </c>
    </row>
    <row r="594" spans="1:3" x14ac:dyDescent="0.25">
      <c r="A594" s="36">
        <v>41407</v>
      </c>
      <c r="B594" s="121">
        <v>0.68148148148148147</v>
      </c>
      <c r="C594" s="26" t="s">
        <v>1426</v>
      </c>
    </row>
    <row r="595" spans="1:3" x14ac:dyDescent="0.25">
      <c r="A595" s="36">
        <v>41407</v>
      </c>
      <c r="B595" s="121">
        <v>0.71359953703703705</v>
      </c>
      <c r="C595" s="26" t="s">
        <v>1427</v>
      </c>
    </row>
    <row r="596" spans="1:3" x14ac:dyDescent="0.25">
      <c r="A596" s="36">
        <v>41407</v>
      </c>
      <c r="B596" s="121">
        <v>0.71876157407407415</v>
      </c>
      <c r="C596" s="26" t="s">
        <v>1428</v>
      </c>
    </row>
    <row r="597" spans="1:3" ht="45" x14ac:dyDescent="0.25">
      <c r="A597" s="36">
        <v>41407</v>
      </c>
      <c r="B597" s="121">
        <v>0.71880787037037042</v>
      </c>
      <c r="C597" s="831" t="s">
        <v>1429</v>
      </c>
    </row>
    <row r="598" spans="1:3" x14ac:dyDescent="0.25">
      <c r="A598" s="36">
        <v>41407</v>
      </c>
      <c r="B598" s="121">
        <v>0.72002314814814816</v>
      </c>
      <c r="C598" s="26" t="s">
        <v>1430</v>
      </c>
    </row>
    <row r="599" spans="1:3" ht="45" x14ac:dyDescent="0.25">
      <c r="A599" s="36">
        <v>41407</v>
      </c>
      <c r="B599" s="121">
        <v>0.72039351851851852</v>
      </c>
      <c r="C599" s="831" t="s">
        <v>1431</v>
      </c>
    </row>
    <row r="600" spans="1:3" x14ac:dyDescent="0.25">
      <c r="A600" s="36">
        <v>41407</v>
      </c>
      <c r="B600" s="121">
        <v>0.72275462962962955</v>
      </c>
      <c r="C600" s="26" t="s">
        <v>1432</v>
      </c>
    </row>
    <row r="601" spans="1:3" ht="45" x14ac:dyDescent="0.25">
      <c r="A601" s="36">
        <v>41407</v>
      </c>
      <c r="B601" s="121">
        <v>0.72281249999999997</v>
      </c>
      <c r="C601" s="831" t="s">
        <v>1433</v>
      </c>
    </row>
    <row r="602" spans="1:3" x14ac:dyDescent="0.25">
      <c r="A602" s="36">
        <v>41409</v>
      </c>
      <c r="B602" s="121">
        <v>0.53247685185185178</v>
      </c>
      <c r="C602" s="26" t="s">
        <v>1434</v>
      </c>
    </row>
    <row r="603" spans="1:3" ht="45" x14ac:dyDescent="0.25">
      <c r="A603" s="36">
        <v>41409</v>
      </c>
      <c r="B603" s="121">
        <v>0.53276620370370364</v>
      </c>
      <c r="C603" s="831" t="s">
        <v>1435</v>
      </c>
    </row>
    <row r="604" spans="1:3" x14ac:dyDescent="0.25">
      <c r="A604" s="36">
        <v>41409</v>
      </c>
      <c r="B604" s="121">
        <v>0.53361111111111115</v>
      </c>
      <c r="C604" s="26" t="s">
        <v>1436</v>
      </c>
    </row>
    <row r="605" spans="1:3" ht="45" x14ac:dyDescent="0.25">
      <c r="A605" s="36">
        <v>41409</v>
      </c>
      <c r="B605" s="121">
        <v>0.53461805555555553</v>
      </c>
      <c r="C605" s="831" t="s">
        <v>1437</v>
      </c>
    </row>
    <row r="606" spans="1:3" x14ac:dyDescent="0.25">
      <c r="A606" s="36">
        <v>41409</v>
      </c>
      <c r="B606" s="121">
        <v>0.54853009259259256</v>
      </c>
      <c r="C606" s="26" t="s">
        <v>1438</v>
      </c>
    </row>
    <row r="607" spans="1:3" ht="30" x14ac:dyDescent="0.25">
      <c r="A607" s="36">
        <v>41409</v>
      </c>
      <c r="B607" s="121">
        <v>0.54878472222222219</v>
      </c>
      <c r="C607" s="831" t="s">
        <v>1439</v>
      </c>
    </row>
    <row r="608" spans="1:3" ht="45" x14ac:dyDescent="0.25">
      <c r="A608" s="36">
        <v>41409</v>
      </c>
      <c r="B608" s="121">
        <v>0.54998842592592589</v>
      </c>
      <c r="C608" s="831" t="s">
        <v>1440</v>
      </c>
    </row>
    <row r="609" spans="1:3" x14ac:dyDescent="0.25">
      <c r="A609" s="36">
        <v>41409</v>
      </c>
      <c r="B609" s="121">
        <v>0.55033564814814817</v>
      </c>
      <c r="C609" s="26" t="s">
        <v>1441</v>
      </c>
    </row>
    <row r="610" spans="1:3" ht="30" x14ac:dyDescent="0.25">
      <c r="A610" s="36">
        <v>41409</v>
      </c>
      <c r="B610" s="121">
        <v>0.55038194444444444</v>
      </c>
      <c r="C610" s="831" t="s">
        <v>1442</v>
      </c>
    </row>
    <row r="611" spans="1:3" ht="45" x14ac:dyDescent="0.25">
      <c r="A611" s="36">
        <v>41409</v>
      </c>
      <c r="B611" s="121">
        <v>0.55047453703703708</v>
      </c>
      <c r="C611" s="831" t="s">
        <v>1443</v>
      </c>
    </row>
    <row r="612" spans="1:3" x14ac:dyDescent="0.25">
      <c r="A612" s="36">
        <v>41409</v>
      </c>
      <c r="B612" s="121">
        <v>0.55082175925925925</v>
      </c>
      <c r="C612" s="26" t="s">
        <v>1444</v>
      </c>
    </row>
    <row r="613" spans="1:3" x14ac:dyDescent="0.25">
      <c r="A613" s="36">
        <v>41409</v>
      </c>
      <c r="B613" s="121">
        <v>0.5519560185185185</v>
      </c>
      <c r="C613" s="26" t="s">
        <v>1213</v>
      </c>
    </row>
    <row r="614" spans="1:3" x14ac:dyDescent="0.25">
      <c r="A614" s="36">
        <v>41409</v>
      </c>
      <c r="B614" s="121">
        <v>0.5519560185185185</v>
      </c>
      <c r="C614" s="26" t="s">
        <v>1214</v>
      </c>
    </row>
    <row r="615" spans="1:3" x14ac:dyDescent="0.25">
      <c r="A615" s="36">
        <v>41409</v>
      </c>
      <c r="B615" s="121">
        <v>0.5519560185185185</v>
      </c>
      <c r="C615" s="26" t="s">
        <v>1215</v>
      </c>
    </row>
    <row r="616" spans="1:3" x14ac:dyDescent="0.25">
      <c r="A616" s="36">
        <v>41409</v>
      </c>
      <c r="B616" s="121">
        <v>0.5519560185185185</v>
      </c>
      <c r="C616" s="26" t="s">
        <v>1214</v>
      </c>
    </row>
    <row r="617" spans="1:3" x14ac:dyDescent="0.25">
      <c r="A617" s="36">
        <v>41409</v>
      </c>
      <c r="B617" s="121">
        <v>0.5519560185185185</v>
      </c>
      <c r="C617" s="26" t="s">
        <v>1216</v>
      </c>
    </row>
    <row r="618" spans="1:3" x14ac:dyDescent="0.25">
      <c r="A618" s="36">
        <v>41409</v>
      </c>
      <c r="B618" s="121">
        <v>0.5519560185185185</v>
      </c>
      <c r="C618" s="26" t="s">
        <v>1216</v>
      </c>
    </row>
    <row r="619" spans="1:3" x14ac:dyDescent="0.25">
      <c r="A619" s="36">
        <v>41409</v>
      </c>
      <c r="B619" s="121">
        <v>0.5519560185185185</v>
      </c>
      <c r="C619" s="26" t="s">
        <v>1217</v>
      </c>
    </row>
    <row r="620" spans="1:3" x14ac:dyDescent="0.25">
      <c r="A620" s="36">
        <v>41409</v>
      </c>
      <c r="B620" s="121">
        <v>0.5519560185185185</v>
      </c>
      <c r="C620" s="26" t="s">
        <v>1218</v>
      </c>
    </row>
    <row r="621" spans="1:3" x14ac:dyDescent="0.25">
      <c r="A621" s="36">
        <v>41409</v>
      </c>
      <c r="B621" s="121">
        <v>0.5519560185185185</v>
      </c>
      <c r="C621" s="26" t="s">
        <v>1219</v>
      </c>
    </row>
    <row r="622" spans="1:3" x14ac:dyDescent="0.25">
      <c r="A622" s="36">
        <v>41409</v>
      </c>
      <c r="B622" s="121">
        <v>0.5519560185185185</v>
      </c>
      <c r="C622" s="26" t="s">
        <v>1220</v>
      </c>
    </row>
    <row r="623" spans="1:3" x14ac:dyDescent="0.25">
      <c r="A623" s="36">
        <v>41409</v>
      </c>
      <c r="B623" s="121">
        <v>0.5519560185185185</v>
      </c>
      <c r="C623" s="26" t="s">
        <v>1221</v>
      </c>
    </row>
    <row r="624" spans="1:3" x14ac:dyDescent="0.25">
      <c r="A624" s="36">
        <v>41409</v>
      </c>
      <c r="B624" s="121">
        <v>0.5519560185185185</v>
      </c>
      <c r="C624" s="26" t="s">
        <v>1222</v>
      </c>
    </row>
    <row r="625" spans="1:3" x14ac:dyDescent="0.25">
      <c r="A625" s="36">
        <v>41409</v>
      </c>
      <c r="B625" s="121">
        <v>0.5519560185185185</v>
      </c>
      <c r="C625" s="26" t="s">
        <v>1214</v>
      </c>
    </row>
    <row r="626" spans="1:3" x14ac:dyDescent="0.25">
      <c r="A626" s="36">
        <v>41409</v>
      </c>
      <c r="B626" s="121">
        <v>0.5519560185185185</v>
      </c>
      <c r="C626" s="26" t="s">
        <v>1223</v>
      </c>
    </row>
    <row r="627" spans="1:3" x14ac:dyDescent="0.25">
      <c r="A627" s="36">
        <v>41409</v>
      </c>
      <c r="B627" s="121">
        <v>0.5519560185185185</v>
      </c>
      <c r="C627" s="26" t="s">
        <v>1223</v>
      </c>
    </row>
    <row r="628" spans="1:3" x14ac:dyDescent="0.25">
      <c r="A628" s="36">
        <v>41409</v>
      </c>
      <c r="B628" s="121">
        <v>0.5519560185185185</v>
      </c>
      <c r="C628" s="26" t="s">
        <v>1224</v>
      </c>
    </row>
    <row r="629" spans="1:3" x14ac:dyDescent="0.25">
      <c r="A629" s="36">
        <v>41409</v>
      </c>
      <c r="B629" s="121">
        <v>0.5519560185185185</v>
      </c>
      <c r="C629" s="26" t="s">
        <v>1219</v>
      </c>
    </row>
    <row r="630" spans="1:3" x14ac:dyDescent="0.25">
      <c r="A630" s="36">
        <v>41409</v>
      </c>
      <c r="B630" s="121">
        <v>0.5519560185185185</v>
      </c>
      <c r="C630" s="26" t="s">
        <v>1219</v>
      </c>
    </row>
    <row r="631" spans="1:3" x14ac:dyDescent="0.25">
      <c r="A631" s="36">
        <v>41409</v>
      </c>
      <c r="B631" s="121">
        <v>0.5519560185185185</v>
      </c>
      <c r="C631" s="26" t="s">
        <v>1225</v>
      </c>
    </row>
    <row r="632" spans="1:3" x14ac:dyDescent="0.25">
      <c r="A632" s="36">
        <v>41409</v>
      </c>
      <c r="B632" s="121">
        <v>0.5519560185185185</v>
      </c>
      <c r="C632" s="26" t="s">
        <v>1226</v>
      </c>
    </row>
    <row r="633" spans="1:3" x14ac:dyDescent="0.25">
      <c r="A633" s="36">
        <v>41409</v>
      </c>
      <c r="B633" s="121">
        <v>0.5519560185185185</v>
      </c>
      <c r="C633" s="26" t="s">
        <v>1226</v>
      </c>
    </row>
    <row r="634" spans="1:3" x14ac:dyDescent="0.25">
      <c r="A634" s="36">
        <v>41409</v>
      </c>
      <c r="B634" s="121">
        <v>0.5519560185185185</v>
      </c>
      <c r="C634" s="26" t="s">
        <v>1223</v>
      </c>
    </row>
    <row r="635" spans="1:3" x14ac:dyDescent="0.25">
      <c r="A635" s="36">
        <v>41409</v>
      </c>
      <c r="B635" s="121">
        <v>0.5519560185185185</v>
      </c>
      <c r="C635" s="26" t="s">
        <v>1227</v>
      </c>
    </row>
    <row r="636" spans="1:3" x14ac:dyDescent="0.25">
      <c r="A636" s="36">
        <v>41409</v>
      </c>
      <c r="B636" s="121">
        <v>0.5519560185185185</v>
      </c>
      <c r="C636" s="26" t="s">
        <v>1227</v>
      </c>
    </row>
    <row r="637" spans="1:3" x14ac:dyDescent="0.25">
      <c r="A637" s="36">
        <v>41409</v>
      </c>
      <c r="B637" s="121">
        <v>0.5519560185185185</v>
      </c>
      <c r="C637" s="26" t="s">
        <v>1214</v>
      </c>
    </row>
    <row r="638" spans="1:3" x14ac:dyDescent="0.25">
      <c r="A638" s="36">
        <v>41409</v>
      </c>
      <c r="B638" s="121">
        <v>0.55196759259259254</v>
      </c>
      <c r="C638" s="26" t="s">
        <v>1358</v>
      </c>
    </row>
    <row r="639" spans="1:3" x14ac:dyDescent="0.25">
      <c r="A639" s="36">
        <v>41409</v>
      </c>
      <c r="B639" s="121">
        <v>0.55519675925925926</v>
      </c>
      <c r="C639" s="26" t="s">
        <v>1445</v>
      </c>
    </row>
    <row r="640" spans="1:3" ht="30" x14ac:dyDescent="0.25">
      <c r="A640" s="36">
        <v>41409</v>
      </c>
      <c r="B640" s="121">
        <v>0.55525462962962957</v>
      </c>
      <c r="C640" s="831" t="s">
        <v>1446</v>
      </c>
    </row>
    <row r="641" spans="1:3" ht="45" x14ac:dyDescent="0.25">
      <c r="A641" s="36">
        <v>41409</v>
      </c>
      <c r="B641" s="121">
        <v>0.55534722222222221</v>
      </c>
      <c r="C641" s="831" t="s">
        <v>1447</v>
      </c>
    </row>
    <row r="642" spans="1:3" x14ac:dyDescent="0.25">
      <c r="A642" s="36">
        <v>41409</v>
      </c>
      <c r="B642" s="121">
        <v>0.55717592592592591</v>
      </c>
      <c r="C642" s="26" t="s">
        <v>1229</v>
      </c>
    </row>
    <row r="643" spans="1:3" x14ac:dyDescent="0.25">
      <c r="A643" s="36">
        <v>41409</v>
      </c>
      <c r="B643" s="121">
        <v>0.55717592592592591</v>
      </c>
      <c r="C643" s="26" t="s">
        <v>1230</v>
      </c>
    </row>
    <row r="644" spans="1:3" x14ac:dyDescent="0.25">
      <c r="A644" s="36">
        <v>41409</v>
      </c>
      <c r="B644" s="121">
        <v>0.55717592592592591</v>
      </c>
      <c r="C644" s="26" t="s">
        <v>1231</v>
      </c>
    </row>
    <row r="645" spans="1:3" x14ac:dyDescent="0.25">
      <c r="A645" s="36">
        <v>41409</v>
      </c>
      <c r="B645" s="121">
        <v>0.55717592592592591</v>
      </c>
      <c r="C645" s="26" t="s">
        <v>1232</v>
      </c>
    </row>
    <row r="646" spans="1:3" x14ac:dyDescent="0.25">
      <c r="A646" s="36">
        <v>41409</v>
      </c>
      <c r="B646" s="121">
        <v>0.55717592592592591</v>
      </c>
      <c r="C646" s="26" t="s">
        <v>1233</v>
      </c>
    </row>
    <row r="647" spans="1:3" x14ac:dyDescent="0.25">
      <c r="A647" s="36">
        <v>41409</v>
      </c>
      <c r="B647" s="121">
        <v>0.55717592592592591</v>
      </c>
      <c r="C647" s="26" t="s">
        <v>1234</v>
      </c>
    </row>
    <row r="648" spans="1:3" x14ac:dyDescent="0.25">
      <c r="A648" s="36">
        <v>41409</v>
      </c>
      <c r="B648" s="121">
        <v>0.55717592592592591</v>
      </c>
      <c r="C648" s="26" t="s">
        <v>1235</v>
      </c>
    </row>
    <row r="649" spans="1:3" x14ac:dyDescent="0.25">
      <c r="A649" s="36">
        <v>41409</v>
      </c>
      <c r="B649" s="121">
        <v>0.55717592592592591</v>
      </c>
      <c r="C649" s="26" t="s">
        <v>1236</v>
      </c>
    </row>
    <row r="650" spans="1:3" x14ac:dyDescent="0.25">
      <c r="A650" s="36">
        <v>41409</v>
      </c>
      <c r="B650" s="121">
        <v>0.55717592592592591</v>
      </c>
      <c r="C650" s="26" t="s">
        <v>1237</v>
      </c>
    </row>
    <row r="651" spans="1:3" x14ac:dyDescent="0.25">
      <c r="A651" s="36">
        <v>41409</v>
      </c>
      <c r="B651" s="121">
        <v>0.55717592592592591</v>
      </c>
      <c r="C651" s="26" t="s">
        <v>1238</v>
      </c>
    </row>
    <row r="652" spans="1:3" x14ac:dyDescent="0.25">
      <c r="A652" s="36">
        <v>41409</v>
      </c>
      <c r="B652" s="121">
        <v>0.55717592592592591</v>
      </c>
      <c r="C652" s="26" t="s">
        <v>1239</v>
      </c>
    </row>
    <row r="653" spans="1:3" x14ac:dyDescent="0.25">
      <c r="A653" s="36">
        <v>41409</v>
      </c>
      <c r="B653" s="121">
        <v>0.55717592592592591</v>
      </c>
      <c r="C653" s="26" t="s">
        <v>1240</v>
      </c>
    </row>
    <row r="654" spans="1:3" x14ac:dyDescent="0.25">
      <c r="A654" s="36">
        <v>41409</v>
      </c>
      <c r="B654" s="121">
        <v>0.55717592592592591</v>
      </c>
      <c r="C654" s="26" t="s">
        <v>1241</v>
      </c>
    </row>
    <row r="655" spans="1:3" x14ac:dyDescent="0.25">
      <c r="A655" s="36">
        <v>41409</v>
      </c>
      <c r="B655" s="121">
        <v>0.55717592592592591</v>
      </c>
      <c r="C655" s="26" t="s">
        <v>1242</v>
      </c>
    </row>
    <row r="656" spans="1:3" x14ac:dyDescent="0.25">
      <c r="A656" s="36">
        <v>41409</v>
      </c>
      <c r="B656" s="121">
        <v>0.55717592592592591</v>
      </c>
      <c r="C656" s="26" t="s">
        <v>1243</v>
      </c>
    </row>
    <row r="657" spans="1:3" x14ac:dyDescent="0.25">
      <c r="A657" s="36">
        <v>41409</v>
      </c>
      <c r="B657" s="121">
        <v>0.55717592592592591</v>
      </c>
      <c r="C657" s="26" t="s">
        <v>1244</v>
      </c>
    </row>
    <row r="658" spans="1:3" x14ac:dyDescent="0.25">
      <c r="A658" s="36">
        <v>41409</v>
      </c>
      <c r="B658" s="121">
        <v>0.55717592592592591</v>
      </c>
      <c r="C658" s="26" t="s">
        <v>1245</v>
      </c>
    </row>
    <row r="659" spans="1:3" x14ac:dyDescent="0.25">
      <c r="A659" s="36">
        <v>41409</v>
      </c>
      <c r="B659" s="121">
        <v>0.55718750000000006</v>
      </c>
      <c r="C659" s="26" t="s">
        <v>1233</v>
      </c>
    </row>
    <row r="660" spans="1:3" x14ac:dyDescent="0.25">
      <c r="A660" s="36">
        <v>41409</v>
      </c>
      <c r="B660" s="121">
        <v>0.55718750000000006</v>
      </c>
      <c r="C660" s="26" t="s">
        <v>1247</v>
      </c>
    </row>
    <row r="661" spans="1:3" x14ac:dyDescent="0.25">
      <c r="A661" s="36">
        <v>41409</v>
      </c>
      <c r="B661" s="121">
        <v>0.55718750000000006</v>
      </c>
      <c r="C661" s="26" t="s">
        <v>1248</v>
      </c>
    </row>
    <row r="662" spans="1:3" x14ac:dyDescent="0.25">
      <c r="A662" s="36">
        <v>41409</v>
      </c>
      <c r="B662" s="121">
        <v>0.55718750000000006</v>
      </c>
      <c r="C662" s="26" t="s">
        <v>1249</v>
      </c>
    </row>
    <row r="663" spans="1:3" x14ac:dyDescent="0.25">
      <c r="A663" s="36">
        <v>41409</v>
      </c>
      <c r="B663" s="121">
        <v>0.55718750000000006</v>
      </c>
      <c r="C663" s="26" t="s">
        <v>1250</v>
      </c>
    </row>
    <row r="664" spans="1:3" x14ac:dyDescent="0.25">
      <c r="A664" s="36">
        <v>41409</v>
      </c>
      <c r="B664" s="121">
        <v>0.55718750000000006</v>
      </c>
      <c r="C664" s="26" t="s">
        <v>1251</v>
      </c>
    </row>
    <row r="665" spans="1:3" x14ac:dyDescent="0.25">
      <c r="A665" s="36">
        <v>41409</v>
      </c>
      <c r="B665" s="121">
        <v>0.55718750000000006</v>
      </c>
      <c r="C665" s="26" t="s">
        <v>1252</v>
      </c>
    </row>
    <row r="666" spans="1:3" x14ac:dyDescent="0.25">
      <c r="A666" s="36">
        <v>41409</v>
      </c>
      <c r="B666" s="121">
        <v>0.55718750000000006</v>
      </c>
      <c r="C666" s="26" t="s">
        <v>1253</v>
      </c>
    </row>
    <row r="667" spans="1:3" x14ac:dyDescent="0.25">
      <c r="A667" s="36">
        <v>41409</v>
      </c>
      <c r="B667" s="121">
        <v>0.55718750000000006</v>
      </c>
      <c r="C667" s="26" t="s">
        <v>1254</v>
      </c>
    </row>
    <row r="668" spans="1:3" x14ac:dyDescent="0.25">
      <c r="A668" s="36">
        <v>41409</v>
      </c>
      <c r="B668" s="121">
        <v>0.55718750000000006</v>
      </c>
      <c r="C668" s="26" t="s">
        <v>1255</v>
      </c>
    </row>
    <row r="669" spans="1:3" x14ac:dyDescent="0.25">
      <c r="A669" s="36">
        <v>41409</v>
      </c>
      <c r="B669" s="121">
        <v>0.55718750000000006</v>
      </c>
      <c r="C669" s="26" t="s">
        <v>1236</v>
      </c>
    </row>
    <row r="670" spans="1:3" x14ac:dyDescent="0.25">
      <c r="A670" s="36">
        <v>41409</v>
      </c>
      <c r="B670" s="121">
        <v>0.55718750000000006</v>
      </c>
      <c r="C670" s="26" t="s">
        <v>1257</v>
      </c>
    </row>
    <row r="671" spans="1:3" x14ac:dyDescent="0.25">
      <c r="A671" s="36">
        <v>41409</v>
      </c>
      <c r="B671" s="121">
        <v>0.55718750000000006</v>
      </c>
      <c r="C671" s="26" t="s">
        <v>1258</v>
      </c>
    </row>
    <row r="672" spans="1:3" x14ac:dyDescent="0.25">
      <c r="A672" s="36">
        <v>41409</v>
      </c>
      <c r="B672" s="121">
        <v>0.55718750000000006</v>
      </c>
      <c r="C672" s="26" t="s">
        <v>1259</v>
      </c>
    </row>
    <row r="673" spans="1:3" x14ac:dyDescent="0.25">
      <c r="A673" s="36">
        <v>41409</v>
      </c>
      <c r="B673" s="121">
        <v>0.55718750000000006</v>
      </c>
      <c r="C673" s="26" t="s">
        <v>1260</v>
      </c>
    </row>
    <row r="674" spans="1:3" x14ac:dyDescent="0.25">
      <c r="A674" s="36">
        <v>41409</v>
      </c>
      <c r="B674" s="121">
        <v>0.55718750000000006</v>
      </c>
      <c r="C674" s="26" t="s">
        <v>1260</v>
      </c>
    </row>
    <row r="675" spans="1:3" x14ac:dyDescent="0.25">
      <c r="A675" s="36">
        <v>41409</v>
      </c>
      <c r="B675" s="121">
        <v>0.55718750000000006</v>
      </c>
      <c r="C675" s="26" t="s">
        <v>1261</v>
      </c>
    </row>
    <row r="676" spans="1:3" x14ac:dyDescent="0.25">
      <c r="A676" s="36">
        <v>41409</v>
      </c>
      <c r="B676" s="121">
        <v>0.55718750000000006</v>
      </c>
      <c r="C676" s="26" t="s">
        <v>1260</v>
      </c>
    </row>
    <row r="677" spans="1:3" x14ac:dyDescent="0.25">
      <c r="A677" s="36">
        <v>41409</v>
      </c>
      <c r="B677" s="121">
        <v>0.55718750000000006</v>
      </c>
      <c r="C677" s="26" t="s">
        <v>1260</v>
      </c>
    </row>
    <row r="678" spans="1:3" x14ac:dyDescent="0.25">
      <c r="A678" s="36">
        <v>41409</v>
      </c>
      <c r="B678" s="121">
        <v>0.55718750000000006</v>
      </c>
      <c r="C678" s="26" t="s">
        <v>1236</v>
      </c>
    </row>
    <row r="679" spans="1:3" x14ac:dyDescent="0.25">
      <c r="A679" s="36">
        <v>41409</v>
      </c>
      <c r="B679" s="121">
        <v>0.5571990740740741</v>
      </c>
      <c r="C679" s="26" t="s">
        <v>1262</v>
      </c>
    </row>
    <row r="680" spans="1:3" x14ac:dyDescent="0.25">
      <c r="A680" s="36">
        <v>41409</v>
      </c>
      <c r="B680" s="121">
        <v>0.5571990740740741</v>
      </c>
      <c r="C680" s="26" t="s">
        <v>1254</v>
      </c>
    </row>
    <row r="681" spans="1:3" x14ac:dyDescent="0.25">
      <c r="A681" s="36">
        <v>41409</v>
      </c>
      <c r="B681" s="121">
        <v>0.5571990740740741</v>
      </c>
      <c r="C681" s="26" t="s">
        <v>1254</v>
      </c>
    </row>
    <row r="682" spans="1:3" x14ac:dyDescent="0.25">
      <c r="A682" s="36">
        <v>41409</v>
      </c>
      <c r="B682" s="121">
        <v>0.5571990740740741</v>
      </c>
      <c r="C682" s="26" t="s">
        <v>1263</v>
      </c>
    </row>
    <row r="683" spans="1:3" x14ac:dyDescent="0.25">
      <c r="A683" s="36">
        <v>41409</v>
      </c>
      <c r="B683" s="121">
        <v>0.5571990740740741</v>
      </c>
      <c r="C683" s="26" t="s">
        <v>1254</v>
      </c>
    </row>
    <row r="684" spans="1:3" x14ac:dyDescent="0.25">
      <c r="A684" s="36">
        <v>41409</v>
      </c>
      <c r="B684" s="121">
        <v>0.5571990740740741</v>
      </c>
      <c r="C684" s="26" t="s">
        <v>1252</v>
      </c>
    </row>
    <row r="685" spans="1:3" x14ac:dyDescent="0.25">
      <c r="A685" s="36">
        <v>41409</v>
      </c>
      <c r="B685" s="121">
        <v>0.5571990740740741</v>
      </c>
      <c r="C685" s="26" t="s">
        <v>1260</v>
      </c>
    </row>
    <row r="686" spans="1:3" x14ac:dyDescent="0.25">
      <c r="A686" s="36">
        <v>41409</v>
      </c>
      <c r="B686" s="121">
        <v>0.5571990740740741</v>
      </c>
      <c r="C686" s="26" t="s">
        <v>1264</v>
      </c>
    </row>
    <row r="687" spans="1:3" x14ac:dyDescent="0.25">
      <c r="A687" s="36">
        <v>41409</v>
      </c>
      <c r="B687" s="121">
        <v>0.5571990740740741</v>
      </c>
      <c r="C687" s="26" t="s">
        <v>1265</v>
      </c>
    </row>
    <row r="688" spans="1:3" x14ac:dyDescent="0.25">
      <c r="A688" s="36">
        <v>41409</v>
      </c>
      <c r="B688" s="121">
        <v>0.5571990740740741</v>
      </c>
      <c r="C688" s="26" t="s">
        <v>1266</v>
      </c>
    </row>
    <row r="689" spans="1:3" x14ac:dyDescent="0.25">
      <c r="A689" s="36">
        <v>41409</v>
      </c>
      <c r="B689" s="121">
        <v>0.5571990740740741</v>
      </c>
      <c r="C689" s="26" t="s">
        <v>1260</v>
      </c>
    </row>
    <row r="690" spans="1:3" x14ac:dyDescent="0.25">
      <c r="A690" s="36">
        <v>41409</v>
      </c>
      <c r="B690" s="121">
        <v>0.5571990740740741</v>
      </c>
      <c r="C690" s="26" t="s">
        <v>1267</v>
      </c>
    </row>
    <row r="691" spans="1:3" x14ac:dyDescent="0.25">
      <c r="A691" s="36">
        <v>41409</v>
      </c>
      <c r="B691" s="121">
        <v>0.5571990740740741</v>
      </c>
      <c r="C691" s="26" t="s">
        <v>1268</v>
      </c>
    </row>
    <row r="692" spans="1:3" x14ac:dyDescent="0.25">
      <c r="A692" s="36">
        <v>41409</v>
      </c>
      <c r="B692" s="121">
        <v>0.5571990740740741</v>
      </c>
      <c r="C692" s="26" t="s">
        <v>1269</v>
      </c>
    </row>
    <row r="693" spans="1:3" x14ac:dyDescent="0.25">
      <c r="A693" s="36">
        <v>41409</v>
      </c>
      <c r="B693" s="121">
        <v>0.5571990740740741</v>
      </c>
      <c r="C693" s="26" t="s">
        <v>1270</v>
      </c>
    </row>
    <row r="694" spans="1:3" x14ac:dyDescent="0.25">
      <c r="A694" s="36">
        <v>41409</v>
      </c>
      <c r="B694" s="121">
        <v>0.5571990740740741</v>
      </c>
      <c r="C694" s="26" t="s">
        <v>1271</v>
      </c>
    </row>
    <row r="695" spans="1:3" x14ac:dyDescent="0.25">
      <c r="A695" s="36">
        <v>41409</v>
      </c>
      <c r="B695" s="121">
        <v>0.5571990740740741</v>
      </c>
      <c r="C695" s="26" t="s">
        <v>1272</v>
      </c>
    </row>
    <row r="696" spans="1:3" x14ac:dyDescent="0.25">
      <c r="A696" s="36">
        <v>41409</v>
      </c>
      <c r="B696" s="121">
        <v>0.5571990740740741</v>
      </c>
      <c r="C696" s="26" t="s">
        <v>1273</v>
      </c>
    </row>
    <row r="697" spans="1:3" x14ac:dyDescent="0.25">
      <c r="A697" s="36">
        <v>41409</v>
      </c>
      <c r="B697" s="121">
        <v>0.5571990740740741</v>
      </c>
      <c r="C697" s="26" t="s">
        <v>1274</v>
      </c>
    </row>
    <row r="698" spans="1:3" x14ac:dyDescent="0.25">
      <c r="A698" s="36">
        <v>41409</v>
      </c>
      <c r="B698" s="121">
        <v>0.5571990740740741</v>
      </c>
      <c r="C698" s="26" t="s">
        <v>1275</v>
      </c>
    </row>
    <row r="699" spans="1:3" x14ac:dyDescent="0.25">
      <c r="A699" s="36">
        <v>41409</v>
      </c>
      <c r="B699" s="121">
        <v>0.5571990740740741</v>
      </c>
      <c r="C699" s="26" t="s">
        <v>1276</v>
      </c>
    </row>
    <row r="700" spans="1:3" x14ac:dyDescent="0.25">
      <c r="A700" s="36">
        <v>41409</v>
      </c>
      <c r="B700" s="121">
        <v>0.5571990740740741</v>
      </c>
      <c r="C700" s="26" t="s">
        <v>1277</v>
      </c>
    </row>
    <row r="701" spans="1:3" x14ac:dyDescent="0.25">
      <c r="A701" s="36">
        <v>41409</v>
      </c>
      <c r="B701" s="121">
        <v>0.5571990740740741</v>
      </c>
      <c r="C701" s="26" t="s">
        <v>1260</v>
      </c>
    </row>
    <row r="702" spans="1:3" x14ac:dyDescent="0.25">
      <c r="A702" s="36">
        <v>41409</v>
      </c>
      <c r="B702" s="121">
        <v>0.5571990740740741</v>
      </c>
      <c r="C702" s="26" t="s">
        <v>1277</v>
      </c>
    </row>
    <row r="703" spans="1:3" x14ac:dyDescent="0.25">
      <c r="A703" s="36">
        <v>41409</v>
      </c>
      <c r="B703" s="121">
        <v>0.5571990740740741</v>
      </c>
      <c r="C703" s="26" t="s">
        <v>1278</v>
      </c>
    </row>
    <row r="704" spans="1:3" x14ac:dyDescent="0.25">
      <c r="A704" s="36">
        <v>41409</v>
      </c>
      <c r="B704" s="121">
        <v>0.5571990740740741</v>
      </c>
      <c r="C704" s="26" t="s">
        <v>1277</v>
      </c>
    </row>
    <row r="705" spans="1:3" x14ac:dyDescent="0.25">
      <c r="A705" s="36">
        <v>41409</v>
      </c>
      <c r="B705" s="121">
        <v>0.5571990740740741</v>
      </c>
      <c r="C705" s="26" t="s">
        <v>1277</v>
      </c>
    </row>
    <row r="706" spans="1:3" x14ac:dyDescent="0.25">
      <c r="A706" s="36">
        <v>41409</v>
      </c>
      <c r="B706" s="121">
        <v>0.5571990740740741</v>
      </c>
      <c r="C706" s="26" t="s">
        <v>1280</v>
      </c>
    </row>
    <row r="707" spans="1:3" x14ac:dyDescent="0.25">
      <c r="A707" s="36">
        <v>41409</v>
      </c>
      <c r="B707" s="121">
        <v>0.5571990740740741</v>
      </c>
      <c r="C707" s="26" t="s">
        <v>1281</v>
      </c>
    </row>
    <row r="708" spans="1:3" x14ac:dyDescent="0.25">
      <c r="A708" s="36">
        <v>41409</v>
      </c>
      <c r="B708" s="121">
        <v>0.5571990740740741</v>
      </c>
      <c r="C708" s="26" t="s">
        <v>1282</v>
      </c>
    </row>
    <row r="709" spans="1:3" x14ac:dyDescent="0.25">
      <c r="A709" s="36">
        <v>41409</v>
      </c>
      <c r="B709" s="121">
        <v>0.5571990740740741</v>
      </c>
      <c r="C709" s="26" t="s">
        <v>1283</v>
      </c>
    </row>
    <row r="710" spans="1:3" x14ac:dyDescent="0.25">
      <c r="A710" s="36">
        <v>41409</v>
      </c>
      <c r="B710" s="121">
        <v>0.5571990740740741</v>
      </c>
      <c r="C710" s="26" t="s">
        <v>1284</v>
      </c>
    </row>
    <row r="711" spans="1:3" x14ac:dyDescent="0.25">
      <c r="A711" s="36">
        <v>41409</v>
      </c>
      <c r="B711" s="121">
        <v>0.5571990740740741</v>
      </c>
      <c r="C711" s="26" t="s">
        <v>1284</v>
      </c>
    </row>
    <row r="712" spans="1:3" x14ac:dyDescent="0.25">
      <c r="A712" s="36">
        <v>41409</v>
      </c>
      <c r="B712" s="121">
        <v>0.5571990740740741</v>
      </c>
      <c r="C712" s="26" t="s">
        <v>1285</v>
      </c>
    </row>
    <row r="713" spans="1:3" x14ac:dyDescent="0.25">
      <c r="A713" s="36">
        <v>41409</v>
      </c>
      <c r="B713" s="121">
        <v>0.5571990740740741</v>
      </c>
      <c r="C713" s="26" t="s">
        <v>1286</v>
      </c>
    </row>
    <row r="714" spans="1:3" x14ac:dyDescent="0.25">
      <c r="A714" s="36">
        <v>41409</v>
      </c>
      <c r="B714" s="121">
        <v>0.5571990740740741</v>
      </c>
      <c r="C714" s="26" t="s">
        <v>1287</v>
      </c>
    </row>
    <row r="715" spans="1:3" x14ac:dyDescent="0.25">
      <c r="A715" s="36">
        <v>41409</v>
      </c>
      <c r="B715" s="121">
        <v>0.5571990740740741</v>
      </c>
      <c r="C715" s="26" t="s">
        <v>1288</v>
      </c>
    </row>
    <row r="716" spans="1:3" x14ac:dyDescent="0.25">
      <c r="A716" s="36">
        <v>41409</v>
      </c>
      <c r="B716" s="121">
        <v>0.5571990740740741</v>
      </c>
      <c r="C716" s="26" t="s">
        <v>1289</v>
      </c>
    </row>
    <row r="717" spans="1:3" x14ac:dyDescent="0.25">
      <c r="A717" s="36">
        <v>41409</v>
      </c>
      <c r="B717" s="121">
        <v>0.5571990740740741</v>
      </c>
      <c r="C717" s="26" t="s">
        <v>1263</v>
      </c>
    </row>
    <row r="718" spans="1:3" x14ac:dyDescent="0.25">
      <c r="A718" s="36">
        <v>41409</v>
      </c>
      <c r="B718" s="121">
        <v>0.5571990740740741</v>
      </c>
      <c r="C718" s="26" t="s">
        <v>1290</v>
      </c>
    </row>
    <row r="719" spans="1:3" x14ac:dyDescent="0.25">
      <c r="A719" s="36">
        <v>41409</v>
      </c>
      <c r="B719" s="121">
        <v>0.5571990740740741</v>
      </c>
      <c r="C719" s="26" t="s">
        <v>1291</v>
      </c>
    </row>
    <row r="720" spans="1:3" x14ac:dyDescent="0.25">
      <c r="A720" s="36">
        <v>41409</v>
      </c>
      <c r="B720" s="121">
        <v>0.5571990740740741</v>
      </c>
      <c r="C720" s="26" t="s">
        <v>1293</v>
      </c>
    </row>
    <row r="721" spans="1:3" x14ac:dyDescent="0.25">
      <c r="A721" s="36">
        <v>41409</v>
      </c>
      <c r="B721" s="121">
        <v>0.5571990740740741</v>
      </c>
      <c r="C721" s="26" t="s">
        <v>1294</v>
      </c>
    </row>
    <row r="722" spans="1:3" x14ac:dyDescent="0.25">
      <c r="A722" s="36">
        <v>41409</v>
      </c>
      <c r="B722" s="121">
        <v>0.5571990740740741</v>
      </c>
      <c r="C722" s="26" t="s">
        <v>1295</v>
      </c>
    </row>
    <row r="723" spans="1:3" x14ac:dyDescent="0.25">
      <c r="A723" s="36">
        <v>41409</v>
      </c>
      <c r="B723" s="121">
        <v>0.5571990740740741</v>
      </c>
      <c r="C723" s="26" t="s">
        <v>1299</v>
      </c>
    </row>
    <row r="724" spans="1:3" x14ac:dyDescent="0.25">
      <c r="A724" s="36">
        <v>41409</v>
      </c>
      <c r="B724" s="121">
        <v>0.5571990740740741</v>
      </c>
      <c r="C724" s="26" t="s">
        <v>1300</v>
      </c>
    </row>
    <row r="725" spans="1:3" x14ac:dyDescent="0.25">
      <c r="A725" s="36">
        <v>41409</v>
      </c>
      <c r="B725" s="121">
        <v>0.5571990740740741</v>
      </c>
      <c r="C725" s="26" t="s">
        <v>1267</v>
      </c>
    </row>
    <row r="726" spans="1:3" x14ac:dyDescent="0.25">
      <c r="A726" s="36">
        <v>41409</v>
      </c>
      <c r="B726" s="121">
        <v>0.5571990740740741</v>
      </c>
      <c r="C726" s="26" t="s">
        <v>1301</v>
      </c>
    </row>
    <row r="727" spans="1:3" x14ac:dyDescent="0.25">
      <c r="A727" s="36">
        <v>41409</v>
      </c>
      <c r="B727" s="121">
        <v>0.5571990740740741</v>
      </c>
      <c r="C727" s="26" t="s">
        <v>1302</v>
      </c>
    </row>
    <row r="728" spans="1:3" x14ac:dyDescent="0.25">
      <c r="A728" s="36">
        <v>41409</v>
      </c>
      <c r="B728" s="121">
        <v>0.5571990740740741</v>
      </c>
      <c r="C728" s="26" t="s">
        <v>1303</v>
      </c>
    </row>
    <row r="729" spans="1:3" x14ac:dyDescent="0.25">
      <c r="A729" s="36">
        <v>41409</v>
      </c>
      <c r="B729" s="121">
        <v>0.5571990740740741</v>
      </c>
      <c r="C729" s="26" t="s">
        <v>1304</v>
      </c>
    </row>
    <row r="730" spans="1:3" x14ac:dyDescent="0.25">
      <c r="A730" s="36">
        <v>41409</v>
      </c>
      <c r="B730" s="121">
        <v>0.5571990740740741</v>
      </c>
      <c r="C730" s="26" t="s">
        <v>1252</v>
      </c>
    </row>
    <row r="731" spans="1:3" x14ac:dyDescent="0.25">
      <c r="A731" s="36">
        <v>41409</v>
      </c>
      <c r="B731" s="121">
        <v>0.5571990740740741</v>
      </c>
      <c r="C731" s="26" t="s">
        <v>1305</v>
      </c>
    </row>
    <row r="732" spans="1:3" x14ac:dyDescent="0.25">
      <c r="A732" s="36">
        <v>41409</v>
      </c>
      <c r="B732" s="121">
        <v>0.5571990740740741</v>
      </c>
      <c r="C732" s="26" t="s">
        <v>1306</v>
      </c>
    </row>
    <row r="733" spans="1:3" x14ac:dyDescent="0.25">
      <c r="A733" s="36">
        <v>41409</v>
      </c>
      <c r="B733" s="121">
        <v>0.5571990740740741</v>
      </c>
      <c r="C733" s="26" t="s">
        <v>1290</v>
      </c>
    </row>
    <row r="734" spans="1:3" x14ac:dyDescent="0.25">
      <c r="A734" s="36">
        <v>41409</v>
      </c>
      <c r="B734" s="121">
        <v>0.5571990740740741</v>
      </c>
      <c r="C734" s="26" t="s">
        <v>1307</v>
      </c>
    </row>
    <row r="735" spans="1:3" x14ac:dyDescent="0.25">
      <c r="A735" s="36">
        <v>41409</v>
      </c>
      <c r="B735" s="121">
        <v>0.5571990740740741</v>
      </c>
      <c r="C735" s="26" t="s">
        <v>1308</v>
      </c>
    </row>
    <row r="736" spans="1:3" x14ac:dyDescent="0.25">
      <c r="A736" s="36">
        <v>41409</v>
      </c>
      <c r="B736" s="121">
        <v>0.5571990740740741</v>
      </c>
      <c r="C736" s="26" t="s">
        <v>1308</v>
      </c>
    </row>
    <row r="737" spans="1:3" x14ac:dyDescent="0.25">
      <c r="A737" s="36">
        <v>41409</v>
      </c>
      <c r="B737" s="121">
        <v>0.5571990740740741</v>
      </c>
      <c r="C737" s="26" t="s">
        <v>1309</v>
      </c>
    </row>
    <row r="738" spans="1:3" x14ac:dyDescent="0.25">
      <c r="A738" s="36">
        <v>41409</v>
      </c>
      <c r="B738" s="121">
        <v>0.5571990740740741</v>
      </c>
      <c r="C738" s="26" t="s">
        <v>1303</v>
      </c>
    </row>
    <row r="739" spans="1:3" x14ac:dyDescent="0.25">
      <c r="A739" s="36">
        <v>41409</v>
      </c>
      <c r="B739" s="121">
        <v>0.5571990740740741</v>
      </c>
      <c r="C739" s="26" t="s">
        <v>1310</v>
      </c>
    </row>
    <row r="740" spans="1:3" x14ac:dyDescent="0.25">
      <c r="A740" s="36">
        <v>41409</v>
      </c>
      <c r="B740" s="121">
        <v>0.5571990740740741</v>
      </c>
      <c r="C740" s="26" t="s">
        <v>1311</v>
      </c>
    </row>
    <row r="741" spans="1:3" x14ac:dyDescent="0.25">
      <c r="A741" s="36">
        <v>41409</v>
      </c>
      <c r="B741" s="121">
        <v>0.5571990740740741</v>
      </c>
      <c r="C741" s="26" t="s">
        <v>1312</v>
      </c>
    </row>
    <row r="742" spans="1:3" x14ac:dyDescent="0.25">
      <c r="A742" s="36">
        <v>41409</v>
      </c>
      <c r="B742" s="121">
        <v>0.5571990740740741</v>
      </c>
      <c r="C742" s="26" t="s">
        <v>1273</v>
      </c>
    </row>
    <row r="743" spans="1:3" x14ac:dyDescent="0.25">
      <c r="A743" s="36">
        <v>41409</v>
      </c>
      <c r="B743" s="121">
        <v>0.5571990740740741</v>
      </c>
      <c r="C743" s="26" t="s">
        <v>1313</v>
      </c>
    </row>
    <row r="744" spans="1:3" x14ac:dyDescent="0.25">
      <c r="A744" s="36">
        <v>41409</v>
      </c>
      <c r="B744" s="121">
        <v>0.5571990740740741</v>
      </c>
      <c r="C744" s="26" t="s">
        <v>1314</v>
      </c>
    </row>
    <row r="745" spans="1:3" x14ac:dyDescent="0.25">
      <c r="A745" s="36">
        <v>41409</v>
      </c>
      <c r="B745" s="121">
        <v>0.5571990740740741</v>
      </c>
      <c r="C745" s="26" t="s">
        <v>1315</v>
      </c>
    </row>
    <row r="746" spans="1:3" x14ac:dyDescent="0.25">
      <c r="A746" s="36">
        <v>41409</v>
      </c>
      <c r="B746" s="121">
        <v>0.5571990740740741</v>
      </c>
      <c r="C746" s="26" t="s">
        <v>1310</v>
      </c>
    </row>
    <row r="747" spans="1:3" x14ac:dyDescent="0.25">
      <c r="A747" s="36">
        <v>41409</v>
      </c>
      <c r="B747" s="121">
        <v>0.5571990740740741</v>
      </c>
      <c r="C747" s="26" t="s">
        <v>1316</v>
      </c>
    </row>
    <row r="748" spans="1:3" x14ac:dyDescent="0.25">
      <c r="A748" s="36">
        <v>41409</v>
      </c>
      <c r="B748" s="121">
        <v>0.5571990740740741</v>
      </c>
      <c r="C748" s="26" t="s">
        <v>1317</v>
      </c>
    </row>
    <row r="749" spans="1:3" x14ac:dyDescent="0.25">
      <c r="A749" s="36">
        <v>41409</v>
      </c>
      <c r="B749" s="121">
        <v>0.5571990740740741</v>
      </c>
      <c r="C749" s="26" t="s">
        <v>1254</v>
      </c>
    </row>
    <row r="750" spans="1:3" x14ac:dyDescent="0.25">
      <c r="A750" s="36">
        <v>41409</v>
      </c>
      <c r="B750" s="121">
        <v>0.5571990740740741</v>
      </c>
      <c r="C750" s="26" t="s">
        <v>1254</v>
      </c>
    </row>
    <row r="751" spans="1:3" x14ac:dyDescent="0.25">
      <c r="A751" s="36">
        <v>41409</v>
      </c>
      <c r="B751" s="121">
        <v>0.5571990740740741</v>
      </c>
      <c r="C751" s="26" t="s">
        <v>1254</v>
      </c>
    </row>
    <row r="752" spans="1:3" x14ac:dyDescent="0.25">
      <c r="A752" s="36">
        <v>41409</v>
      </c>
      <c r="B752" s="121">
        <v>0.5571990740740741</v>
      </c>
      <c r="C752" s="26" t="s">
        <v>1318</v>
      </c>
    </row>
    <row r="753" spans="1:3" x14ac:dyDescent="0.25">
      <c r="A753" s="36">
        <v>41409</v>
      </c>
      <c r="B753" s="121">
        <v>0.5571990740740741</v>
      </c>
      <c r="C753" s="26" t="s">
        <v>1319</v>
      </c>
    </row>
    <row r="754" spans="1:3" x14ac:dyDescent="0.25">
      <c r="A754" s="36">
        <v>41409</v>
      </c>
      <c r="B754" s="121">
        <v>0.5571990740740741</v>
      </c>
      <c r="C754" s="26" t="s">
        <v>1265</v>
      </c>
    </row>
    <row r="755" spans="1:3" x14ac:dyDescent="0.25">
      <c r="A755" s="36">
        <v>41409</v>
      </c>
      <c r="B755" s="121">
        <v>0.5571990740740741</v>
      </c>
      <c r="C755" s="26" t="s">
        <v>1322</v>
      </c>
    </row>
    <row r="756" spans="1:3" x14ac:dyDescent="0.25">
      <c r="A756" s="36">
        <v>41409</v>
      </c>
      <c r="B756" s="121">
        <v>0.5571990740740741</v>
      </c>
      <c r="C756" s="26" t="s">
        <v>1323</v>
      </c>
    </row>
    <row r="757" spans="1:3" x14ac:dyDescent="0.25">
      <c r="A757" s="36">
        <v>41409</v>
      </c>
      <c r="B757" s="121">
        <v>0.5571990740740741</v>
      </c>
      <c r="C757" s="26" t="s">
        <v>1267</v>
      </c>
    </row>
    <row r="758" spans="1:3" x14ac:dyDescent="0.25">
      <c r="A758" s="36">
        <v>41409</v>
      </c>
      <c r="B758" s="121">
        <v>0.5571990740740741</v>
      </c>
      <c r="C758" s="26" t="s">
        <v>1324</v>
      </c>
    </row>
    <row r="759" spans="1:3" x14ac:dyDescent="0.25">
      <c r="A759" s="36">
        <v>41409</v>
      </c>
      <c r="B759" s="121">
        <v>0.5571990740740741</v>
      </c>
      <c r="C759" s="26" t="s">
        <v>1325</v>
      </c>
    </row>
    <row r="760" spans="1:3" x14ac:dyDescent="0.25">
      <c r="A760" s="36">
        <v>41409</v>
      </c>
      <c r="B760" s="121">
        <v>0.5571990740740741</v>
      </c>
      <c r="C760" s="26" t="s">
        <v>1326</v>
      </c>
    </row>
    <row r="761" spans="1:3" x14ac:dyDescent="0.25">
      <c r="A761" s="36">
        <v>41409</v>
      </c>
      <c r="B761" s="121">
        <v>0.5571990740740741</v>
      </c>
      <c r="C761" s="26" t="s">
        <v>1327</v>
      </c>
    </row>
    <row r="762" spans="1:3" x14ac:dyDescent="0.25">
      <c r="A762" s="36">
        <v>41409</v>
      </c>
      <c r="B762" s="121">
        <v>0.5571990740740741</v>
      </c>
      <c r="C762" s="26" t="s">
        <v>1328</v>
      </c>
    </row>
    <row r="763" spans="1:3" x14ac:dyDescent="0.25">
      <c r="A763" s="36">
        <v>41409</v>
      </c>
      <c r="B763" s="121">
        <v>0.5571990740740741</v>
      </c>
      <c r="C763" s="26" t="s">
        <v>1329</v>
      </c>
    </row>
    <row r="764" spans="1:3" x14ac:dyDescent="0.25">
      <c r="A764" s="36">
        <v>41409</v>
      </c>
      <c r="B764" s="121">
        <v>0.5571990740740741</v>
      </c>
      <c r="C764" s="26" t="s">
        <v>1329</v>
      </c>
    </row>
    <row r="765" spans="1:3" x14ac:dyDescent="0.25">
      <c r="A765" s="36">
        <v>41409</v>
      </c>
      <c r="B765" s="121">
        <v>0.5571990740740741</v>
      </c>
      <c r="C765" s="26" t="s">
        <v>1330</v>
      </c>
    </row>
    <row r="766" spans="1:3" x14ac:dyDescent="0.25">
      <c r="A766" s="36">
        <v>41409</v>
      </c>
      <c r="B766" s="121">
        <v>0.5571990740740741</v>
      </c>
      <c r="C766" s="26" t="s">
        <v>1262</v>
      </c>
    </row>
    <row r="767" spans="1:3" x14ac:dyDescent="0.25">
      <c r="A767" s="36">
        <v>41409</v>
      </c>
      <c r="B767" s="121">
        <v>0.5571990740740741</v>
      </c>
      <c r="C767" s="26" t="s">
        <v>1331</v>
      </c>
    </row>
    <row r="768" spans="1:3" x14ac:dyDescent="0.25">
      <c r="A768" s="36">
        <v>41409</v>
      </c>
      <c r="B768" s="121">
        <v>0.5571990740740741</v>
      </c>
      <c r="C768" s="26" t="s">
        <v>1332</v>
      </c>
    </row>
    <row r="769" spans="1:3" x14ac:dyDescent="0.25">
      <c r="A769" s="36">
        <v>41409</v>
      </c>
      <c r="B769" s="121">
        <v>0.5571990740740741</v>
      </c>
      <c r="C769" s="26" t="s">
        <v>1332</v>
      </c>
    </row>
    <row r="770" spans="1:3" x14ac:dyDescent="0.25">
      <c r="A770" s="36">
        <v>41409</v>
      </c>
      <c r="B770" s="121">
        <v>0.5571990740740741</v>
      </c>
      <c r="C770" s="26" t="s">
        <v>1333</v>
      </c>
    </row>
    <row r="771" spans="1:3" x14ac:dyDescent="0.25">
      <c r="A771" s="36">
        <v>41409</v>
      </c>
      <c r="B771" s="121">
        <v>0.5571990740740741</v>
      </c>
      <c r="C771" s="26" t="s">
        <v>1334</v>
      </c>
    </row>
    <row r="772" spans="1:3" x14ac:dyDescent="0.25">
      <c r="A772" s="36">
        <v>41409</v>
      </c>
      <c r="B772" s="121">
        <v>0.5571990740740741</v>
      </c>
      <c r="C772" s="26" t="s">
        <v>1335</v>
      </c>
    </row>
    <row r="773" spans="1:3" x14ac:dyDescent="0.25">
      <c r="A773" s="36">
        <v>41409</v>
      </c>
      <c r="B773" s="121">
        <v>0.5571990740740741</v>
      </c>
      <c r="C773" s="26" t="s">
        <v>1336</v>
      </c>
    </row>
    <row r="774" spans="1:3" x14ac:dyDescent="0.25">
      <c r="A774" s="36">
        <v>41409</v>
      </c>
      <c r="B774" s="121">
        <v>0.5571990740740741</v>
      </c>
      <c r="C774" s="26" t="s">
        <v>1338</v>
      </c>
    </row>
    <row r="775" spans="1:3" x14ac:dyDescent="0.25">
      <c r="A775" s="36">
        <v>41409</v>
      </c>
      <c r="B775" s="121">
        <v>0.5571990740740741</v>
      </c>
      <c r="C775" s="26" t="s">
        <v>1339</v>
      </c>
    </row>
    <row r="776" spans="1:3" x14ac:dyDescent="0.25">
      <c r="A776" s="36">
        <v>41409</v>
      </c>
      <c r="B776" s="121">
        <v>0.5571990740740741</v>
      </c>
      <c r="C776" s="26" t="s">
        <v>1340</v>
      </c>
    </row>
    <row r="777" spans="1:3" x14ac:dyDescent="0.25">
      <c r="A777" s="36">
        <v>41409</v>
      </c>
      <c r="B777" s="121">
        <v>0.5571990740740741</v>
      </c>
      <c r="C777" s="26" t="s">
        <v>1340</v>
      </c>
    </row>
    <row r="778" spans="1:3" x14ac:dyDescent="0.25">
      <c r="A778" s="36">
        <v>41409</v>
      </c>
      <c r="B778" s="121">
        <v>0.5571990740740741</v>
      </c>
      <c r="C778" s="26" t="s">
        <v>1265</v>
      </c>
    </row>
    <row r="779" spans="1:3" x14ac:dyDescent="0.25">
      <c r="A779" s="36">
        <v>41409</v>
      </c>
      <c r="B779" s="121">
        <v>0.5571990740740741</v>
      </c>
      <c r="C779" s="26" t="s">
        <v>1338</v>
      </c>
    </row>
    <row r="780" spans="1:3" x14ac:dyDescent="0.25">
      <c r="A780" s="36">
        <v>41409</v>
      </c>
      <c r="B780" s="121">
        <v>0.5571990740740741</v>
      </c>
      <c r="C780" s="26" t="s">
        <v>1252</v>
      </c>
    </row>
    <row r="781" spans="1:3" x14ac:dyDescent="0.25">
      <c r="A781" s="36">
        <v>41409</v>
      </c>
      <c r="B781" s="121">
        <v>0.5571990740740741</v>
      </c>
      <c r="C781" s="26" t="s">
        <v>1341</v>
      </c>
    </row>
    <row r="782" spans="1:3" x14ac:dyDescent="0.25">
      <c r="A782" s="36">
        <v>41409</v>
      </c>
      <c r="B782" s="121">
        <v>0.55721064814814814</v>
      </c>
      <c r="C782" s="26" t="s">
        <v>1342</v>
      </c>
    </row>
    <row r="783" spans="1:3" x14ac:dyDescent="0.25">
      <c r="A783" s="36">
        <v>41409</v>
      </c>
      <c r="B783" s="121">
        <v>0.55721064814814814</v>
      </c>
      <c r="C783" s="26" t="s">
        <v>1343</v>
      </c>
    </row>
    <row r="784" spans="1:3" x14ac:dyDescent="0.25">
      <c r="A784" s="36">
        <v>41409</v>
      </c>
      <c r="B784" s="121">
        <v>0.55721064814814814</v>
      </c>
      <c r="C784" s="26" t="s">
        <v>1344</v>
      </c>
    </row>
    <row r="785" spans="1:3" x14ac:dyDescent="0.25">
      <c r="A785" s="36">
        <v>41409</v>
      </c>
      <c r="B785" s="121">
        <v>0.55721064814814814</v>
      </c>
      <c r="C785" s="26" t="s">
        <v>1345</v>
      </c>
    </row>
    <row r="786" spans="1:3" x14ac:dyDescent="0.25">
      <c r="A786" s="36">
        <v>41409</v>
      </c>
      <c r="B786" s="121">
        <v>0.55721064814814814</v>
      </c>
      <c r="C786" s="26" t="s">
        <v>1332</v>
      </c>
    </row>
    <row r="787" spans="1:3" x14ac:dyDescent="0.25">
      <c r="A787" s="36">
        <v>41409</v>
      </c>
      <c r="B787" s="121">
        <v>0.55721064814814814</v>
      </c>
      <c r="C787" s="26" t="s">
        <v>1346</v>
      </c>
    </row>
    <row r="788" spans="1:3" x14ac:dyDescent="0.25">
      <c r="A788" s="36">
        <v>41409</v>
      </c>
      <c r="B788" s="121">
        <v>0.55721064814814814</v>
      </c>
      <c r="C788" s="26" t="s">
        <v>1315</v>
      </c>
    </row>
    <row r="789" spans="1:3" x14ac:dyDescent="0.25">
      <c r="A789" s="36">
        <v>41409</v>
      </c>
      <c r="B789" s="121">
        <v>0.55721064814814814</v>
      </c>
      <c r="C789" s="26" t="s">
        <v>1347</v>
      </c>
    </row>
    <row r="790" spans="1:3" x14ac:dyDescent="0.25">
      <c r="A790" s="36">
        <v>41409</v>
      </c>
      <c r="B790" s="121">
        <v>0.55721064814814814</v>
      </c>
      <c r="C790" s="26" t="s">
        <v>1348</v>
      </c>
    </row>
    <row r="791" spans="1:3" x14ac:dyDescent="0.25">
      <c r="A791" s="36">
        <v>41409</v>
      </c>
      <c r="B791" s="121">
        <v>0.55721064814814814</v>
      </c>
      <c r="C791" s="26" t="s">
        <v>1314</v>
      </c>
    </row>
    <row r="792" spans="1:3" x14ac:dyDescent="0.25">
      <c r="A792" s="36">
        <v>41409</v>
      </c>
      <c r="B792" s="121">
        <v>0.55721064814814814</v>
      </c>
      <c r="C792" s="26" t="s">
        <v>1349</v>
      </c>
    </row>
    <row r="793" spans="1:3" x14ac:dyDescent="0.25">
      <c r="A793" s="36">
        <v>41409</v>
      </c>
      <c r="B793" s="121">
        <v>0.55721064814814814</v>
      </c>
      <c r="C793" s="26" t="s">
        <v>1350</v>
      </c>
    </row>
    <row r="794" spans="1:3" x14ac:dyDescent="0.25">
      <c r="A794" s="36">
        <v>41409</v>
      </c>
      <c r="B794" s="121">
        <v>0.55721064814814814</v>
      </c>
      <c r="C794" s="26" t="s">
        <v>1351</v>
      </c>
    </row>
    <row r="795" spans="1:3" x14ac:dyDescent="0.25">
      <c r="A795" s="36">
        <v>41409</v>
      </c>
      <c r="B795" s="121">
        <v>0.55721064814814814</v>
      </c>
      <c r="C795" s="26" t="s">
        <v>1352</v>
      </c>
    </row>
    <row r="796" spans="1:3" x14ac:dyDescent="0.25">
      <c r="A796" s="36">
        <v>41409</v>
      </c>
      <c r="B796" s="121">
        <v>0.55721064814814814</v>
      </c>
      <c r="C796" s="26" t="s">
        <v>1354</v>
      </c>
    </row>
    <row r="797" spans="1:3" x14ac:dyDescent="0.25">
      <c r="A797" s="36">
        <v>41409</v>
      </c>
      <c r="B797" s="121">
        <v>0.55721064814814814</v>
      </c>
      <c r="C797" s="26" t="s">
        <v>1341</v>
      </c>
    </row>
    <row r="798" spans="1:3" x14ac:dyDescent="0.25">
      <c r="A798" s="36">
        <v>41409</v>
      </c>
      <c r="B798" s="121">
        <v>0.55721064814814814</v>
      </c>
      <c r="C798" s="26" t="s">
        <v>1420</v>
      </c>
    </row>
    <row r="799" spans="1:3" x14ac:dyDescent="0.25">
      <c r="A799" s="36">
        <v>41409</v>
      </c>
      <c r="B799" s="121">
        <v>0.62549768518518511</v>
      </c>
      <c r="C799" s="26" t="s">
        <v>1448</v>
      </c>
    </row>
    <row r="800" spans="1:3" ht="45" x14ac:dyDescent="0.25">
      <c r="A800" s="36">
        <v>41409</v>
      </c>
      <c r="B800" s="121">
        <v>0.62686342592592592</v>
      </c>
      <c r="C800" s="831" t="s">
        <v>1449</v>
      </c>
    </row>
    <row r="801" spans="1:3" ht="45" x14ac:dyDescent="0.25">
      <c r="A801" s="36">
        <v>41409</v>
      </c>
      <c r="B801" s="121">
        <v>0.62714120370370374</v>
      </c>
      <c r="C801" s="831" t="s">
        <v>1450</v>
      </c>
    </row>
    <row r="802" spans="1:3" ht="30" x14ac:dyDescent="0.25">
      <c r="A802" s="36">
        <v>41409</v>
      </c>
      <c r="B802" s="121">
        <v>0.62729166666666669</v>
      </c>
      <c r="C802" s="831" t="s">
        <v>1451</v>
      </c>
    </row>
    <row r="803" spans="1:3" x14ac:dyDescent="0.25">
      <c r="A803" s="36">
        <v>41409</v>
      </c>
      <c r="B803" s="121">
        <v>0.64864583333333337</v>
      </c>
      <c r="C803" s="26" t="s">
        <v>1213</v>
      </c>
    </row>
    <row r="804" spans="1:3" x14ac:dyDescent="0.25">
      <c r="A804" s="36">
        <v>41409</v>
      </c>
      <c r="B804" s="121">
        <v>0.64864583333333337</v>
      </c>
      <c r="C804" s="26" t="s">
        <v>1214</v>
      </c>
    </row>
    <row r="805" spans="1:3" x14ac:dyDescent="0.25">
      <c r="A805" s="36">
        <v>41409</v>
      </c>
      <c r="B805" s="121">
        <v>0.64864583333333337</v>
      </c>
      <c r="C805" s="26" t="s">
        <v>1215</v>
      </c>
    </row>
    <row r="806" spans="1:3" x14ac:dyDescent="0.25">
      <c r="A806" s="36">
        <v>41409</v>
      </c>
      <c r="B806" s="121">
        <v>0.64864583333333337</v>
      </c>
      <c r="C806" s="26" t="s">
        <v>1214</v>
      </c>
    </row>
    <row r="807" spans="1:3" x14ac:dyDescent="0.25">
      <c r="A807" s="36">
        <v>41409</v>
      </c>
      <c r="B807" s="121">
        <v>0.64864583333333337</v>
      </c>
      <c r="C807" s="26" t="s">
        <v>1216</v>
      </c>
    </row>
    <row r="808" spans="1:3" x14ac:dyDescent="0.25">
      <c r="A808" s="36">
        <v>41409</v>
      </c>
      <c r="B808" s="121">
        <v>0.64864583333333337</v>
      </c>
      <c r="C808" s="26" t="s">
        <v>1216</v>
      </c>
    </row>
    <row r="809" spans="1:3" x14ac:dyDescent="0.25">
      <c r="A809" s="36">
        <v>41409</v>
      </c>
      <c r="B809" s="121">
        <v>0.64864583333333337</v>
      </c>
      <c r="C809" s="26" t="s">
        <v>1217</v>
      </c>
    </row>
    <row r="810" spans="1:3" x14ac:dyDescent="0.25">
      <c r="A810" s="36">
        <v>41409</v>
      </c>
      <c r="B810" s="121">
        <v>0.64864583333333337</v>
      </c>
      <c r="C810" s="26" t="s">
        <v>1219</v>
      </c>
    </row>
    <row r="811" spans="1:3" x14ac:dyDescent="0.25">
      <c r="A811" s="36">
        <v>41409</v>
      </c>
      <c r="B811" s="121">
        <v>0.64864583333333337</v>
      </c>
      <c r="C811" s="26" t="s">
        <v>1220</v>
      </c>
    </row>
    <row r="812" spans="1:3" x14ac:dyDescent="0.25">
      <c r="A812" s="36">
        <v>41409</v>
      </c>
      <c r="B812" s="121">
        <v>0.64864583333333337</v>
      </c>
      <c r="C812" s="26" t="s">
        <v>1221</v>
      </c>
    </row>
    <row r="813" spans="1:3" x14ac:dyDescent="0.25">
      <c r="A813" s="36">
        <v>41409</v>
      </c>
      <c r="B813" s="121">
        <v>0.64864583333333337</v>
      </c>
      <c r="C813" s="26" t="s">
        <v>1222</v>
      </c>
    </row>
    <row r="814" spans="1:3" x14ac:dyDescent="0.25">
      <c r="A814" s="36">
        <v>41409</v>
      </c>
      <c r="B814" s="121">
        <v>0.64864583333333337</v>
      </c>
      <c r="C814" s="26" t="s">
        <v>1214</v>
      </c>
    </row>
    <row r="815" spans="1:3" x14ac:dyDescent="0.25">
      <c r="A815" s="36">
        <v>41409</v>
      </c>
      <c r="B815" s="121">
        <v>0.64864583333333337</v>
      </c>
      <c r="C815" s="26" t="s">
        <v>1223</v>
      </c>
    </row>
    <row r="816" spans="1:3" x14ac:dyDescent="0.25">
      <c r="A816" s="36">
        <v>41409</v>
      </c>
      <c r="B816" s="121">
        <v>0.64864583333333337</v>
      </c>
      <c r="C816" s="26" t="s">
        <v>1223</v>
      </c>
    </row>
    <row r="817" spans="1:3" x14ac:dyDescent="0.25">
      <c r="A817" s="36">
        <v>41409</v>
      </c>
      <c r="B817" s="121">
        <v>0.64864583333333337</v>
      </c>
      <c r="C817" s="26" t="s">
        <v>1224</v>
      </c>
    </row>
    <row r="818" spans="1:3" x14ac:dyDescent="0.25">
      <c r="A818" s="36">
        <v>41409</v>
      </c>
      <c r="B818" s="121">
        <v>0.64864583333333337</v>
      </c>
      <c r="C818" s="26" t="s">
        <v>1219</v>
      </c>
    </row>
    <row r="819" spans="1:3" x14ac:dyDescent="0.25">
      <c r="A819" s="36">
        <v>41409</v>
      </c>
      <c r="B819" s="121">
        <v>0.64864583333333337</v>
      </c>
      <c r="C819" s="26" t="s">
        <v>1219</v>
      </c>
    </row>
    <row r="820" spans="1:3" x14ac:dyDescent="0.25">
      <c r="A820" s="36">
        <v>41409</v>
      </c>
      <c r="B820" s="121">
        <v>0.64864583333333337</v>
      </c>
      <c r="C820" s="26" t="s">
        <v>1225</v>
      </c>
    </row>
    <row r="821" spans="1:3" x14ac:dyDescent="0.25">
      <c r="A821" s="36">
        <v>41409</v>
      </c>
      <c r="B821" s="121">
        <v>0.64864583333333337</v>
      </c>
      <c r="C821" s="26" t="s">
        <v>1226</v>
      </c>
    </row>
    <row r="822" spans="1:3" x14ac:dyDescent="0.25">
      <c r="A822" s="36">
        <v>41409</v>
      </c>
      <c r="B822" s="121">
        <v>0.64864583333333337</v>
      </c>
      <c r="C822" s="26" t="s">
        <v>1226</v>
      </c>
    </row>
    <row r="823" spans="1:3" x14ac:dyDescent="0.25">
      <c r="A823" s="36">
        <v>41409</v>
      </c>
      <c r="B823" s="121">
        <v>0.64864583333333337</v>
      </c>
      <c r="C823" s="26" t="s">
        <v>1223</v>
      </c>
    </row>
    <row r="824" spans="1:3" x14ac:dyDescent="0.25">
      <c r="A824" s="36">
        <v>41409</v>
      </c>
      <c r="B824" s="121">
        <v>0.64864583333333337</v>
      </c>
      <c r="C824" s="26" t="s">
        <v>1227</v>
      </c>
    </row>
    <row r="825" spans="1:3" x14ac:dyDescent="0.25">
      <c r="A825" s="36">
        <v>41409</v>
      </c>
      <c r="B825" s="121">
        <v>0.64864583333333337</v>
      </c>
      <c r="C825" s="26" t="s">
        <v>1227</v>
      </c>
    </row>
    <row r="826" spans="1:3" x14ac:dyDescent="0.25">
      <c r="A826" s="36">
        <v>41409</v>
      </c>
      <c r="B826" s="121">
        <v>0.64864583333333337</v>
      </c>
      <c r="C826" s="26" t="s">
        <v>1214</v>
      </c>
    </row>
    <row r="827" spans="1:3" x14ac:dyDescent="0.25">
      <c r="A827" s="36">
        <v>41409</v>
      </c>
      <c r="B827" s="121">
        <v>0.64864583333333337</v>
      </c>
      <c r="C827" s="26" t="s">
        <v>1452</v>
      </c>
    </row>
    <row r="828" spans="1:3" x14ac:dyDescent="0.25">
      <c r="A828" s="36">
        <v>41409</v>
      </c>
      <c r="B828" s="121">
        <v>0.64986111111111111</v>
      </c>
      <c r="C828" s="26" t="s">
        <v>1453</v>
      </c>
    </row>
    <row r="829" spans="1:3" ht="45" x14ac:dyDescent="0.25">
      <c r="A829" s="36">
        <v>41409</v>
      </c>
      <c r="B829" s="121">
        <v>0.65149305555555559</v>
      </c>
      <c r="C829" s="831" t="s">
        <v>1454</v>
      </c>
    </row>
    <row r="830" spans="1:3" ht="45" x14ac:dyDescent="0.25">
      <c r="A830" s="36">
        <v>41409</v>
      </c>
      <c r="B830" s="121">
        <v>0.65189814814814817</v>
      </c>
      <c r="C830" s="831" t="s">
        <v>1455</v>
      </c>
    </row>
    <row r="831" spans="1:3" ht="30" x14ac:dyDescent="0.25">
      <c r="A831" s="36">
        <v>41409</v>
      </c>
      <c r="B831" s="121">
        <v>0.6520717592592592</v>
      </c>
      <c r="C831" s="831" t="s">
        <v>1456</v>
      </c>
    </row>
    <row r="832" spans="1:3" x14ac:dyDescent="0.25">
      <c r="A832" s="36">
        <v>41409</v>
      </c>
      <c r="B832" s="121">
        <v>0.79765046296296294</v>
      </c>
      <c r="C832" s="26" t="s">
        <v>1457</v>
      </c>
    </row>
    <row r="833" spans="1:3" ht="30" x14ac:dyDescent="0.25">
      <c r="A833" s="36">
        <v>41409</v>
      </c>
      <c r="B833" s="121">
        <v>0.79805555555555552</v>
      </c>
      <c r="C833" s="831" t="s">
        <v>1458</v>
      </c>
    </row>
    <row r="834" spans="1:3" ht="45" x14ac:dyDescent="0.25">
      <c r="A834" s="36">
        <v>41409</v>
      </c>
      <c r="B834" s="121">
        <v>0.79973379629629626</v>
      </c>
      <c r="C834" s="831" t="s">
        <v>1459</v>
      </c>
    </row>
    <row r="835" spans="1:3" x14ac:dyDescent="0.25">
      <c r="A835" s="36">
        <v>41409</v>
      </c>
      <c r="B835" s="121">
        <v>0.80766203703703709</v>
      </c>
      <c r="C835" s="26" t="s">
        <v>1460</v>
      </c>
    </row>
    <row r="836" spans="1:3" ht="60" x14ac:dyDescent="0.25">
      <c r="A836" s="36">
        <v>41410</v>
      </c>
      <c r="B836" s="121">
        <v>0.7077430555555555</v>
      </c>
      <c r="C836" s="831" t="s">
        <v>1461</v>
      </c>
    </row>
    <row r="837" spans="1:3" x14ac:dyDescent="0.25">
      <c r="A837" s="36">
        <v>41414</v>
      </c>
      <c r="B837" s="121">
        <v>0.62130787037037039</v>
      </c>
      <c r="C837" s="26" t="s">
        <v>1463</v>
      </c>
    </row>
    <row r="838" spans="1:3" x14ac:dyDescent="0.25">
      <c r="A838" s="36">
        <v>41414</v>
      </c>
      <c r="B838" s="121">
        <v>0.64179398148148148</v>
      </c>
      <c r="C838" s="26" t="s">
        <v>1464</v>
      </c>
    </row>
    <row r="839" spans="1:3" x14ac:dyDescent="0.25">
      <c r="A839" s="36">
        <v>41414</v>
      </c>
      <c r="B839" s="121">
        <v>0.81032407407407403</v>
      </c>
      <c r="C839" s="26" t="s">
        <v>1464</v>
      </c>
    </row>
    <row r="840" spans="1:3" x14ac:dyDescent="0.25">
      <c r="A840" s="36">
        <v>41414</v>
      </c>
      <c r="B840" s="121">
        <v>0.82326388888888891</v>
      </c>
      <c r="C840" s="26" t="s">
        <v>1465</v>
      </c>
    </row>
    <row r="841" spans="1:3" ht="45" x14ac:dyDescent="0.25">
      <c r="A841" s="36">
        <v>41414</v>
      </c>
      <c r="B841" s="121">
        <v>0.8241087962962963</v>
      </c>
      <c r="C841" s="831" t="s">
        <v>1466</v>
      </c>
    </row>
    <row r="842" spans="1:3" x14ac:dyDescent="0.25">
      <c r="A842" s="36">
        <v>41414</v>
      </c>
      <c r="B842" s="121">
        <v>0.82505787037037026</v>
      </c>
      <c r="C842" s="26" t="s">
        <v>1467</v>
      </c>
    </row>
    <row r="843" spans="1:3" ht="45" x14ac:dyDescent="0.25">
      <c r="A843" s="36">
        <v>41414</v>
      </c>
      <c r="B843" s="121">
        <v>0.82542824074074073</v>
      </c>
      <c r="C843" s="831" t="s">
        <v>1468</v>
      </c>
    </row>
    <row r="844" spans="1:3" x14ac:dyDescent="0.25">
      <c r="A844" s="36">
        <v>41414</v>
      </c>
      <c r="B844" s="121">
        <v>0.82773148148148146</v>
      </c>
      <c r="C844" s="26" t="s">
        <v>1469</v>
      </c>
    </row>
    <row r="845" spans="1:3" x14ac:dyDescent="0.25">
      <c r="A845" s="36">
        <v>41414</v>
      </c>
      <c r="B845" s="121">
        <v>0.82827546296296306</v>
      </c>
      <c r="C845" s="26" t="s">
        <v>1470</v>
      </c>
    </row>
    <row r="846" spans="1:3" ht="30" x14ac:dyDescent="0.25">
      <c r="A846" s="36">
        <v>41414</v>
      </c>
      <c r="B846" s="121">
        <v>0.82833333333333325</v>
      </c>
      <c r="C846" s="831" t="s">
        <v>1471</v>
      </c>
    </row>
    <row r="847" spans="1:3" ht="45" x14ac:dyDescent="0.25">
      <c r="A847" s="36">
        <v>41414</v>
      </c>
      <c r="B847" s="121">
        <v>0.82841435185185175</v>
      </c>
      <c r="C847" s="831" t="s">
        <v>1472</v>
      </c>
    </row>
    <row r="848" spans="1:3" x14ac:dyDescent="0.25">
      <c r="A848" s="36">
        <v>41414</v>
      </c>
      <c r="B848" s="121">
        <v>0.82878472222222221</v>
      </c>
      <c r="C848" s="26" t="s">
        <v>1473</v>
      </c>
    </row>
    <row r="849" spans="1:3" ht="30" x14ac:dyDescent="0.25">
      <c r="A849" s="36">
        <v>41414</v>
      </c>
      <c r="B849" s="121">
        <v>0.82905092592592589</v>
      </c>
      <c r="C849" s="831" t="s">
        <v>1474</v>
      </c>
    </row>
    <row r="850" spans="1:3" ht="45" x14ac:dyDescent="0.25">
      <c r="A850" s="36">
        <v>41414</v>
      </c>
      <c r="B850" s="121">
        <v>0.82991898148148147</v>
      </c>
      <c r="C850" s="831" t="s">
        <v>1475</v>
      </c>
    </row>
    <row r="851" spans="1:3" x14ac:dyDescent="0.25">
      <c r="A851" s="36">
        <v>41414</v>
      </c>
      <c r="B851" s="121">
        <v>0.83086805555555554</v>
      </c>
      <c r="C851" s="26" t="s">
        <v>1476</v>
      </c>
    </row>
    <row r="852" spans="1:3" ht="45" x14ac:dyDescent="0.25">
      <c r="A852" s="36">
        <v>41414</v>
      </c>
      <c r="B852" s="121">
        <v>0.8322222222222222</v>
      </c>
      <c r="C852" s="831" t="s">
        <v>1477</v>
      </c>
    </row>
    <row r="853" spans="1:3" ht="45" x14ac:dyDescent="0.25">
      <c r="A853" s="36">
        <v>41414</v>
      </c>
      <c r="B853" s="121">
        <v>0.83248842592592587</v>
      </c>
      <c r="C853" s="831" t="s">
        <v>1478</v>
      </c>
    </row>
    <row r="854" spans="1:3" ht="30" x14ac:dyDescent="0.25">
      <c r="A854" s="36">
        <v>41414</v>
      </c>
      <c r="B854" s="121">
        <v>0.83254629629629628</v>
      </c>
      <c r="C854" s="831" t="s">
        <v>1479</v>
      </c>
    </row>
    <row r="855" spans="1:3" ht="30" x14ac:dyDescent="0.25">
      <c r="A855" s="36">
        <v>41414</v>
      </c>
      <c r="B855" s="121">
        <v>0.83307870370370374</v>
      </c>
      <c r="C855" s="831" t="s">
        <v>1480</v>
      </c>
    </row>
    <row r="856" spans="1:3" ht="45" x14ac:dyDescent="0.25">
      <c r="A856" s="36">
        <v>41414</v>
      </c>
      <c r="B856" s="121">
        <v>0.83325231481481488</v>
      </c>
      <c r="C856" s="831" t="s">
        <v>1481</v>
      </c>
    </row>
    <row r="857" spans="1:3" x14ac:dyDescent="0.25">
      <c r="A857" s="36">
        <v>41414</v>
      </c>
      <c r="B857" s="121">
        <v>0.83349537037037036</v>
      </c>
      <c r="C857" s="26" t="s">
        <v>1213</v>
      </c>
    </row>
    <row r="858" spans="1:3" x14ac:dyDescent="0.25">
      <c r="A858" s="36">
        <v>41414</v>
      </c>
      <c r="B858" s="121">
        <v>0.83349537037037036</v>
      </c>
      <c r="C858" s="26" t="s">
        <v>1214</v>
      </c>
    </row>
    <row r="859" spans="1:3" x14ac:dyDescent="0.25">
      <c r="A859" s="36">
        <v>41414</v>
      </c>
      <c r="B859" s="121">
        <v>0.83349537037037036</v>
      </c>
      <c r="C859" s="26" t="s">
        <v>1214</v>
      </c>
    </row>
    <row r="860" spans="1:3" x14ac:dyDescent="0.25">
      <c r="A860" s="36">
        <v>41414</v>
      </c>
      <c r="B860" s="121">
        <v>0.83349537037037036</v>
      </c>
      <c r="C860" s="26" t="s">
        <v>1216</v>
      </c>
    </row>
    <row r="861" spans="1:3" x14ac:dyDescent="0.25">
      <c r="A861" s="36">
        <v>41414</v>
      </c>
      <c r="B861" s="121">
        <v>0.83349537037037036</v>
      </c>
      <c r="C861" s="26" t="s">
        <v>1216</v>
      </c>
    </row>
    <row r="862" spans="1:3" x14ac:dyDescent="0.25">
      <c r="A862" s="36">
        <v>41414</v>
      </c>
      <c r="B862" s="121">
        <v>0.83349537037037036</v>
      </c>
      <c r="C862" s="26" t="s">
        <v>1217</v>
      </c>
    </row>
    <row r="863" spans="1:3" x14ac:dyDescent="0.25">
      <c r="A863" s="36">
        <v>41414</v>
      </c>
      <c r="B863" s="121">
        <v>0.83349537037037036</v>
      </c>
      <c r="C863" s="26" t="s">
        <v>1219</v>
      </c>
    </row>
    <row r="864" spans="1:3" x14ac:dyDescent="0.25">
      <c r="A864" s="36">
        <v>41414</v>
      </c>
      <c r="B864" s="121">
        <v>0.83349537037037036</v>
      </c>
      <c r="C864" s="26" t="s">
        <v>1220</v>
      </c>
    </row>
    <row r="865" spans="1:3" x14ac:dyDescent="0.25">
      <c r="A865" s="36">
        <v>41414</v>
      </c>
      <c r="B865" s="121">
        <v>0.83349537037037036</v>
      </c>
      <c r="C865" s="26" t="s">
        <v>1221</v>
      </c>
    </row>
    <row r="866" spans="1:3" x14ac:dyDescent="0.25">
      <c r="A866" s="36">
        <v>41414</v>
      </c>
      <c r="B866" s="121">
        <v>0.83349537037037036</v>
      </c>
      <c r="C866" s="26" t="s">
        <v>1214</v>
      </c>
    </row>
    <row r="867" spans="1:3" x14ac:dyDescent="0.25">
      <c r="A867" s="36">
        <v>41414</v>
      </c>
      <c r="B867" s="121">
        <v>0.83349537037037036</v>
      </c>
      <c r="C867" s="26" t="s">
        <v>1223</v>
      </c>
    </row>
    <row r="868" spans="1:3" x14ac:dyDescent="0.25">
      <c r="A868" s="36">
        <v>41414</v>
      </c>
      <c r="B868" s="121">
        <v>0.83349537037037036</v>
      </c>
      <c r="C868" s="26" t="s">
        <v>1223</v>
      </c>
    </row>
    <row r="869" spans="1:3" x14ac:dyDescent="0.25">
      <c r="A869" s="36">
        <v>41414</v>
      </c>
      <c r="B869" s="121">
        <v>0.83349537037037036</v>
      </c>
      <c r="C869" s="26" t="s">
        <v>1224</v>
      </c>
    </row>
    <row r="870" spans="1:3" x14ac:dyDescent="0.25">
      <c r="A870" s="36">
        <v>41414</v>
      </c>
      <c r="B870" s="121">
        <v>0.83349537037037036</v>
      </c>
      <c r="C870" s="26" t="s">
        <v>1219</v>
      </c>
    </row>
    <row r="871" spans="1:3" x14ac:dyDescent="0.25">
      <c r="A871" s="36">
        <v>41414</v>
      </c>
      <c r="B871" s="121">
        <v>0.83349537037037036</v>
      </c>
      <c r="C871" s="26" t="s">
        <v>1219</v>
      </c>
    </row>
    <row r="872" spans="1:3" x14ac:dyDescent="0.25">
      <c r="A872" s="36">
        <v>41414</v>
      </c>
      <c r="B872" s="121">
        <v>0.83349537037037036</v>
      </c>
      <c r="C872" s="26" t="s">
        <v>1225</v>
      </c>
    </row>
    <row r="873" spans="1:3" x14ac:dyDescent="0.25">
      <c r="A873" s="36">
        <v>41414</v>
      </c>
      <c r="B873" s="121">
        <v>0.83349537037037036</v>
      </c>
      <c r="C873" s="26" t="s">
        <v>1226</v>
      </c>
    </row>
    <row r="874" spans="1:3" x14ac:dyDescent="0.25">
      <c r="A874" s="36">
        <v>41414</v>
      </c>
      <c r="B874" s="121">
        <v>0.83349537037037036</v>
      </c>
      <c r="C874" s="26" t="s">
        <v>1226</v>
      </c>
    </row>
    <row r="875" spans="1:3" x14ac:dyDescent="0.25">
      <c r="A875" s="36">
        <v>41414</v>
      </c>
      <c r="B875" s="121">
        <v>0.83349537037037036</v>
      </c>
      <c r="C875" s="26" t="s">
        <v>1223</v>
      </c>
    </row>
    <row r="876" spans="1:3" x14ac:dyDescent="0.25">
      <c r="A876" s="36">
        <v>41414</v>
      </c>
      <c r="B876" s="121">
        <v>0.83349537037037036</v>
      </c>
      <c r="C876" s="26" t="s">
        <v>1227</v>
      </c>
    </row>
    <row r="877" spans="1:3" x14ac:dyDescent="0.25">
      <c r="A877" s="36">
        <v>41414</v>
      </c>
      <c r="B877" s="121">
        <v>0.83349537037037036</v>
      </c>
      <c r="C877" s="26" t="s">
        <v>1227</v>
      </c>
    </row>
    <row r="878" spans="1:3" x14ac:dyDescent="0.25">
      <c r="A878" s="36">
        <v>41414</v>
      </c>
      <c r="B878" s="121">
        <v>0.8335069444444444</v>
      </c>
      <c r="C878" s="26" t="s">
        <v>1214</v>
      </c>
    </row>
    <row r="879" spans="1:3" x14ac:dyDescent="0.25">
      <c r="A879" s="36">
        <v>41414</v>
      </c>
      <c r="B879" s="121">
        <v>0.8335069444444444</v>
      </c>
      <c r="C879" s="26" t="s">
        <v>1223</v>
      </c>
    </row>
    <row r="880" spans="1:3" x14ac:dyDescent="0.25">
      <c r="A880" s="36">
        <v>41414</v>
      </c>
      <c r="B880" s="121">
        <v>0.8335069444444444</v>
      </c>
      <c r="C880" s="26" t="s">
        <v>1223</v>
      </c>
    </row>
    <row r="881" spans="1:3" x14ac:dyDescent="0.25">
      <c r="A881" s="36">
        <v>41414</v>
      </c>
      <c r="B881" s="121">
        <v>0.8335069444444444</v>
      </c>
      <c r="C881" s="26" t="s">
        <v>1358</v>
      </c>
    </row>
    <row r="882" spans="1:3" x14ac:dyDescent="0.25">
      <c r="A882" s="36">
        <v>41414</v>
      </c>
      <c r="B882" s="121">
        <v>0.84237268518518515</v>
      </c>
      <c r="C882" s="26" t="s">
        <v>1482</v>
      </c>
    </row>
    <row r="883" spans="1:3" ht="30" x14ac:dyDescent="0.25">
      <c r="A883" s="36">
        <v>41414</v>
      </c>
      <c r="B883" s="121">
        <v>0.84244212962962972</v>
      </c>
      <c r="C883" s="831" t="s">
        <v>1483</v>
      </c>
    </row>
    <row r="884" spans="1:3" ht="45" x14ac:dyDescent="0.25">
      <c r="A884" s="36">
        <v>41414</v>
      </c>
      <c r="B884" s="121">
        <v>0.84260416666666671</v>
      </c>
      <c r="C884" s="831" t="s">
        <v>1484</v>
      </c>
    </row>
    <row r="885" spans="1:3" x14ac:dyDescent="0.25">
      <c r="A885" s="36">
        <v>41414</v>
      </c>
      <c r="B885" s="121">
        <v>0.84304398148148152</v>
      </c>
      <c r="C885" s="26" t="s">
        <v>1485</v>
      </c>
    </row>
    <row r="886" spans="1:3" x14ac:dyDescent="0.25">
      <c r="A886" s="36">
        <v>41414</v>
      </c>
      <c r="B886" s="121">
        <v>0.84369212962962958</v>
      </c>
      <c r="C886" s="26" t="s">
        <v>1229</v>
      </c>
    </row>
    <row r="887" spans="1:3" x14ac:dyDescent="0.25">
      <c r="A887" s="36">
        <v>41414</v>
      </c>
      <c r="B887" s="121">
        <v>0.84369212962962958</v>
      </c>
      <c r="C887" s="26" t="s">
        <v>1230</v>
      </c>
    </row>
    <row r="888" spans="1:3" x14ac:dyDescent="0.25">
      <c r="A888" s="36">
        <v>41414</v>
      </c>
      <c r="B888" s="121">
        <v>0.84369212962962958</v>
      </c>
      <c r="C888" s="26" t="s">
        <v>1231</v>
      </c>
    </row>
    <row r="889" spans="1:3" x14ac:dyDescent="0.25">
      <c r="A889" s="36">
        <v>41414</v>
      </c>
      <c r="B889" s="121">
        <v>0.84369212962962958</v>
      </c>
      <c r="C889" s="26" t="s">
        <v>1232</v>
      </c>
    </row>
    <row r="890" spans="1:3" x14ac:dyDescent="0.25">
      <c r="A890" s="36">
        <v>41414</v>
      </c>
      <c r="B890" s="121">
        <v>0.84369212962962958</v>
      </c>
      <c r="C890" s="26" t="s">
        <v>1233</v>
      </c>
    </row>
    <row r="891" spans="1:3" x14ac:dyDescent="0.25">
      <c r="A891" s="36">
        <v>41414</v>
      </c>
      <c r="B891" s="121">
        <v>0.84369212962962958</v>
      </c>
      <c r="C891" s="26" t="s">
        <v>1234</v>
      </c>
    </row>
    <row r="892" spans="1:3" x14ac:dyDescent="0.25">
      <c r="A892" s="36">
        <v>41414</v>
      </c>
      <c r="B892" s="121">
        <v>0.84370370370370373</v>
      </c>
      <c r="C892" s="26" t="s">
        <v>1235</v>
      </c>
    </row>
    <row r="893" spans="1:3" x14ac:dyDescent="0.25">
      <c r="A893" s="36">
        <v>41414</v>
      </c>
      <c r="B893" s="121">
        <v>0.84370370370370373</v>
      </c>
      <c r="C893" s="26" t="s">
        <v>1236</v>
      </c>
    </row>
    <row r="894" spans="1:3" x14ac:dyDescent="0.25">
      <c r="A894" s="36">
        <v>41414</v>
      </c>
      <c r="B894" s="121">
        <v>0.84370370370370373</v>
      </c>
      <c r="C894" s="26" t="s">
        <v>1237</v>
      </c>
    </row>
    <row r="895" spans="1:3" x14ac:dyDescent="0.25">
      <c r="A895" s="36">
        <v>41414</v>
      </c>
      <c r="B895" s="121">
        <v>0.84370370370370373</v>
      </c>
      <c r="C895" s="26" t="s">
        <v>1238</v>
      </c>
    </row>
    <row r="896" spans="1:3" x14ac:dyDescent="0.25">
      <c r="A896" s="36">
        <v>41414</v>
      </c>
      <c r="B896" s="121">
        <v>0.84370370370370373</v>
      </c>
      <c r="C896" s="26" t="s">
        <v>1239</v>
      </c>
    </row>
    <row r="897" spans="1:3" x14ac:dyDescent="0.25">
      <c r="A897" s="36">
        <v>41414</v>
      </c>
      <c r="B897" s="121">
        <v>0.84370370370370373</v>
      </c>
      <c r="C897" s="26" t="s">
        <v>1240</v>
      </c>
    </row>
    <row r="898" spans="1:3" x14ac:dyDescent="0.25">
      <c r="A898" s="36">
        <v>41414</v>
      </c>
      <c r="B898" s="121">
        <v>0.84370370370370373</v>
      </c>
      <c r="C898" s="26" t="s">
        <v>1241</v>
      </c>
    </row>
    <row r="899" spans="1:3" x14ac:dyDescent="0.25">
      <c r="A899" s="36">
        <v>41414</v>
      </c>
      <c r="B899" s="121">
        <v>0.84370370370370373</v>
      </c>
      <c r="C899" s="26" t="s">
        <v>1242</v>
      </c>
    </row>
    <row r="900" spans="1:3" x14ac:dyDescent="0.25">
      <c r="A900" s="36">
        <v>41414</v>
      </c>
      <c r="B900" s="121">
        <v>0.84370370370370373</v>
      </c>
      <c r="C900" s="26" t="s">
        <v>1243</v>
      </c>
    </row>
    <row r="901" spans="1:3" x14ac:dyDescent="0.25">
      <c r="A901" s="36">
        <v>41414</v>
      </c>
      <c r="B901" s="121">
        <v>0.84370370370370373</v>
      </c>
      <c r="C901" s="26" t="s">
        <v>1244</v>
      </c>
    </row>
    <row r="902" spans="1:3" x14ac:dyDescent="0.25">
      <c r="A902" s="36">
        <v>41414</v>
      </c>
      <c r="B902" s="121">
        <v>0.84370370370370373</v>
      </c>
      <c r="C902" s="26" t="s">
        <v>1245</v>
      </c>
    </row>
    <row r="903" spans="1:3" x14ac:dyDescent="0.25">
      <c r="A903" s="36">
        <v>41414</v>
      </c>
      <c r="B903" s="121">
        <v>0.84370370370370373</v>
      </c>
      <c r="C903" s="26" t="s">
        <v>1233</v>
      </c>
    </row>
    <row r="904" spans="1:3" x14ac:dyDescent="0.25">
      <c r="A904" s="36">
        <v>41414</v>
      </c>
      <c r="B904" s="121">
        <v>0.84370370370370373</v>
      </c>
      <c r="C904" s="26" t="s">
        <v>1248</v>
      </c>
    </row>
    <row r="905" spans="1:3" x14ac:dyDescent="0.25">
      <c r="A905" s="36">
        <v>41414</v>
      </c>
      <c r="B905" s="121">
        <v>0.84370370370370373</v>
      </c>
      <c r="C905" s="26" t="s">
        <v>1249</v>
      </c>
    </row>
    <row r="906" spans="1:3" x14ac:dyDescent="0.25">
      <c r="A906" s="36">
        <v>41414</v>
      </c>
      <c r="B906" s="121">
        <v>0.84370370370370373</v>
      </c>
      <c r="C906" s="26" t="s">
        <v>1250</v>
      </c>
    </row>
    <row r="907" spans="1:3" x14ac:dyDescent="0.25">
      <c r="A907" s="36">
        <v>41414</v>
      </c>
      <c r="B907" s="121">
        <v>0.84370370370370373</v>
      </c>
      <c r="C907" s="26" t="s">
        <v>1251</v>
      </c>
    </row>
    <row r="908" spans="1:3" x14ac:dyDescent="0.25">
      <c r="A908" s="36">
        <v>41414</v>
      </c>
      <c r="B908" s="121">
        <v>0.84370370370370373</v>
      </c>
      <c r="C908" s="26" t="s">
        <v>1252</v>
      </c>
    </row>
    <row r="909" spans="1:3" x14ac:dyDescent="0.25">
      <c r="A909" s="36">
        <v>41414</v>
      </c>
      <c r="B909" s="121">
        <v>0.84370370370370373</v>
      </c>
      <c r="C909" s="26" t="s">
        <v>1253</v>
      </c>
    </row>
    <row r="910" spans="1:3" x14ac:dyDescent="0.25">
      <c r="A910" s="36">
        <v>41414</v>
      </c>
      <c r="B910" s="121">
        <v>0.84370370370370373</v>
      </c>
      <c r="C910" s="26" t="s">
        <v>1254</v>
      </c>
    </row>
    <row r="911" spans="1:3" x14ac:dyDescent="0.25">
      <c r="A911" s="36">
        <v>41414</v>
      </c>
      <c r="B911" s="121">
        <v>0.84370370370370373</v>
      </c>
      <c r="C911" s="26" t="s">
        <v>1255</v>
      </c>
    </row>
    <row r="912" spans="1:3" x14ac:dyDescent="0.25">
      <c r="A912" s="36">
        <v>41414</v>
      </c>
      <c r="B912" s="121">
        <v>0.84370370370370373</v>
      </c>
      <c r="C912" s="26" t="s">
        <v>1236</v>
      </c>
    </row>
    <row r="913" spans="1:3" x14ac:dyDescent="0.25">
      <c r="A913" s="36">
        <v>41414</v>
      </c>
      <c r="B913" s="121">
        <v>0.84370370370370373</v>
      </c>
      <c r="C913" s="26" t="s">
        <v>1257</v>
      </c>
    </row>
    <row r="914" spans="1:3" x14ac:dyDescent="0.25">
      <c r="A914" s="36">
        <v>41414</v>
      </c>
      <c r="B914" s="121">
        <v>0.84370370370370373</v>
      </c>
      <c r="C914" s="26" t="s">
        <v>1258</v>
      </c>
    </row>
    <row r="915" spans="1:3" x14ac:dyDescent="0.25">
      <c r="A915" s="36">
        <v>41414</v>
      </c>
      <c r="B915" s="121">
        <v>0.84370370370370373</v>
      </c>
      <c r="C915" s="26" t="s">
        <v>1259</v>
      </c>
    </row>
    <row r="916" spans="1:3" x14ac:dyDescent="0.25">
      <c r="A916" s="36">
        <v>41414</v>
      </c>
      <c r="B916" s="121">
        <v>0.84371527777777777</v>
      </c>
      <c r="C916" s="26" t="s">
        <v>1260</v>
      </c>
    </row>
    <row r="917" spans="1:3" x14ac:dyDescent="0.25">
      <c r="A917" s="36">
        <v>41414</v>
      </c>
      <c r="B917" s="121">
        <v>0.84371527777777777</v>
      </c>
      <c r="C917" s="26" t="s">
        <v>1260</v>
      </c>
    </row>
    <row r="918" spans="1:3" x14ac:dyDescent="0.25">
      <c r="A918" s="36">
        <v>41414</v>
      </c>
      <c r="B918" s="121">
        <v>0.84371527777777777</v>
      </c>
      <c r="C918" s="26" t="s">
        <v>1261</v>
      </c>
    </row>
    <row r="919" spans="1:3" x14ac:dyDescent="0.25">
      <c r="A919" s="36">
        <v>41414</v>
      </c>
      <c r="B919" s="121">
        <v>0.84371527777777777</v>
      </c>
      <c r="C919" s="26" t="s">
        <v>1260</v>
      </c>
    </row>
    <row r="920" spans="1:3" x14ac:dyDescent="0.25">
      <c r="A920" s="36">
        <v>41414</v>
      </c>
      <c r="B920" s="121">
        <v>0.84371527777777777</v>
      </c>
      <c r="C920" s="26" t="s">
        <v>1260</v>
      </c>
    </row>
    <row r="921" spans="1:3" x14ac:dyDescent="0.25">
      <c r="A921" s="36">
        <v>41414</v>
      </c>
      <c r="B921" s="121">
        <v>0.84371527777777777</v>
      </c>
      <c r="C921" s="26" t="s">
        <v>1236</v>
      </c>
    </row>
    <row r="922" spans="1:3" x14ac:dyDescent="0.25">
      <c r="A922" s="36">
        <v>41414</v>
      </c>
      <c r="B922" s="121">
        <v>0.84371527777777777</v>
      </c>
      <c r="C922" s="26" t="s">
        <v>1262</v>
      </c>
    </row>
    <row r="923" spans="1:3" x14ac:dyDescent="0.25">
      <c r="A923" s="36">
        <v>41414</v>
      </c>
      <c r="B923" s="121">
        <v>0.84371527777777777</v>
      </c>
      <c r="C923" s="26" t="s">
        <v>1254</v>
      </c>
    </row>
    <row r="924" spans="1:3" x14ac:dyDescent="0.25">
      <c r="A924" s="36">
        <v>41414</v>
      </c>
      <c r="B924" s="121">
        <v>0.84371527777777777</v>
      </c>
      <c r="C924" s="26" t="s">
        <v>1254</v>
      </c>
    </row>
    <row r="925" spans="1:3" x14ac:dyDescent="0.25">
      <c r="A925" s="36">
        <v>41414</v>
      </c>
      <c r="B925" s="121">
        <v>0.84371527777777777</v>
      </c>
      <c r="C925" s="26" t="s">
        <v>1263</v>
      </c>
    </row>
    <row r="926" spans="1:3" x14ac:dyDescent="0.25">
      <c r="A926" s="36">
        <v>41414</v>
      </c>
      <c r="B926" s="121">
        <v>0.84371527777777777</v>
      </c>
      <c r="C926" s="26" t="s">
        <v>1254</v>
      </c>
    </row>
    <row r="927" spans="1:3" x14ac:dyDescent="0.25">
      <c r="A927" s="36">
        <v>41414</v>
      </c>
      <c r="B927" s="121">
        <v>0.84371527777777777</v>
      </c>
      <c r="C927" s="26" t="s">
        <v>1252</v>
      </c>
    </row>
    <row r="928" spans="1:3" x14ac:dyDescent="0.25">
      <c r="A928" s="36">
        <v>41414</v>
      </c>
      <c r="B928" s="121">
        <v>0.84371527777777777</v>
      </c>
      <c r="C928" s="26" t="s">
        <v>1260</v>
      </c>
    </row>
    <row r="929" spans="1:3" x14ac:dyDescent="0.25">
      <c r="A929" s="36">
        <v>41414</v>
      </c>
      <c r="B929" s="121">
        <v>0.84371527777777777</v>
      </c>
      <c r="C929" s="26" t="s">
        <v>1264</v>
      </c>
    </row>
    <row r="930" spans="1:3" x14ac:dyDescent="0.25">
      <c r="A930" s="36">
        <v>41414</v>
      </c>
      <c r="B930" s="121">
        <v>0.84371527777777777</v>
      </c>
      <c r="C930" s="26" t="s">
        <v>1265</v>
      </c>
    </row>
    <row r="931" spans="1:3" x14ac:dyDescent="0.25">
      <c r="A931" s="36">
        <v>41414</v>
      </c>
      <c r="B931" s="121">
        <v>0.84371527777777777</v>
      </c>
      <c r="C931" s="26" t="s">
        <v>1260</v>
      </c>
    </row>
    <row r="932" spans="1:3" x14ac:dyDescent="0.25">
      <c r="A932" s="36">
        <v>41414</v>
      </c>
      <c r="B932" s="121">
        <v>0.84371527777777777</v>
      </c>
      <c r="C932" s="26" t="s">
        <v>1267</v>
      </c>
    </row>
    <row r="933" spans="1:3" x14ac:dyDescent="0.25">
      <c r="A933" s="36">
        <v>41414</v>
      </c>
      <c r="B933" s="121">
        <v>0.84371527777777777</v>
      </c>
      <c r="C933" s="26" t="s">
        <v>1268</v>
      </c>
    </row>
    <row r="934" spans="1:3" x14ac:dyDescent="0.25">
      <c r="A934" s="36">
        <v>41414</v>
      </c>
      <c r="B934" s="121">
        <v>0.84371527777777777</v>
      </c>
      <c r="C934" s="26" t="s">
        <v>1269</v>
      </c>
    </row>
    <row r="935" spans="1:3" x14ac:dyDescent="0.25">
      <c r="A935" s="36">
        <v>41414</v>
      </c>
      <c r="B935" s="121">
        <v>0.84371527777777777</v>
      </c>
      <c r="C935" s="26" t="s">
        <v>1270</v>
      </c>
    </row>
    <row r="936" spans="1:3" x14ac:dyDescent="0.25">
      <c r="A936" s="36">
        <v>41414</v>
      </c>
      <c r="B936" s="121">
        <v>0.84371527777777777</v>
      </c>
      <c r="C936" s="26" t="s">
        <v>1271</v>
      </c>
    </row>
    <row r="937" spans="1:3" x14ac:dyDescent="0.25">
      <c r="A937" s="36">
        <v>41414</v>
      </c>
      <c r="B937" s="121">
        <v>0.84371527777777777</v>
      </c>
      <c r="C937" s="26" t="s">
        <v>1272</v>
      </c>
    </row>
    <row r="938" spans="1:3" x14ac:dyDescent="0.25">
      <c r="A938" s="36">
        <v>41414</v>
      </c>
      <c r="B938" s="121">
        <v>0.84371527777777777</v>
      </c>
      <c r="C938" s="26" t="s">
        <v>1273</v>
      </c>
    </row>
    <row r="939" spans="1:3" x14ac:dyDescent="0.25">
      <c r="A939" s="36">
        <v>41414</v>
      </c>
      <c r="B939" s="121">
        <v>0.84371527777777777</v>
      </c>
      <c r="C939" s="26" t="s">
        <v>1274</v>
      </c>
    </row>
    <row r="940" spans="1:3" x14ac:dyDescent="0.25">
      <c r="A940" s="36">
        <v>41414</v>
      </c>
      <c r="B940" s="121">
        <v>0.84371527777777777</v>
      </c>
      <c r="C940" s="26" t="s">
        <v>1275</v>
      </c>
    </row>
    <row r="941" spans="1:3" x14ac:dyDescent="0.25">
      <c r="A941" s="36">
        <v>41414</v>
      </c>
      <c r="B941" s="121">
        <v>0.84371527777777777</v>
      </c>
      <c r="C941" s="26" t="s">
        <v>1276</v>
      </c>
    </row>
    <row r="942" spans="1:3" x14ac:dyDescent="0.25">
      <c r="A942" s="36">
        <v>41414</v>
      </c>
      <c r="B942" s="121">
        <v>0.84371527777777777</v>
      </c>
      <c r="C942" s="26" t="s">
        <v>1277</v>
      </c>
    </row>
    <row r="943" spans="1:3" x14ac:dyDescent="0.25">
      <c r="A943" s="36">
        <v>41414</v>
      </c>
      <c r="B943" s="121">
        <v>0.84371527777777777</v>
      </c>
      <c r="C943" s="26" t="s">
        <v>1260</v>
      </c>
    </row>
    <row r="944" spans="1:3" x14ac:dyDescent="0.25">
      <c r="A944" s="36">
        <v>41414</v>
      </c>
      <c r="B944" s="121">
        <v>0.84371527777777777</v>
      </c>
      <c r="C944" s="26" t="s">
        <v>1277</v>
      </c>
    </row>
    <row r="945" spans="1:3" x14ac:dyDescent="0.25">
      <c r="A945" s="36">
        <v>41414</v>
      </c>
      <c r="B945" s="121">
        <v>0.84371527777777777</v>
      </c>
      <c r="C945" s="26" t="s">
        <v>1278</v>
      </c>
    </row>
    <row r="946" spans="1:3" x14ac:dyDescent="0.25">
      <c r="A946" s="36">
        <v>41414</v>
      </c>
      <c r="B946" s="121">
        <v>0.84371527777777777</v>
      </c>
      <c r="C946" s="26" t="s">
        <v>1277</v>
      </c>
    </row>
    <row r="947" spans="1:3" x14ac:dyDescent="0.25">
      <c r="A947" s="36">
        <v>41414</v>
      </c>
      <c r="B947" s="121">
        <v>0.84371527777777777</v>
      </c>
      <c r="C947" s="26" t="s">
        <v>1277</v>
      </c>
    </row>
    <row r="948" spans="1:3" x14ac:dyDescent="0.25">
      <c r="A948" s="36">
        <v>41414</v>
      </c>
      <c r="B948" s="121">
        <v>0.84371527777777777</v>
      </c>
      <c r="C948" s="26" t="s">
        <v>1280</v>
      </c>
    </row>
    <row r="949" spans="1:3" x14ac:dyDescent="0.25">
      <c r="A949" s="36">
        <v>41414</v>
      </c>
      <c r="B949" s="121">
        <v>0.84371527777777777</v>
      </c>
      <c r="C949" s="26" t="s">
        <v>1281</v>
      </c>
    </row>
    <row r="950" spans="1:3" x14ac:dyDescent="0.25">
      <c r="A950" s="36">
        <v>41414</v>
      </c>
      <c r="B950" s="121">
        <v>0.84371527777777777</v>
      </c>
      <c r="C950" s="26" t="s">
        <v>1282</v>
      </c>
    </row>
    <row r="951" spans="1:3" x14ac:dyDescent="0.25">
      <c r="A951" s="36">
        <v>41414</v>
      </c>
      <c r="B951" s="121">
        <v>0.84371527777777777</v>
      </c>
      <c r="C951" s="26" t="s">
        <v>1283</v>
      </c>
    </row>
    <row r="952" spans="1:3" x14ac:dyDescent="0.25">
      <c r="A952" s="36">
        <v>41414</v>
      </c>
      <c r="B952" s="121">
        <v>0.84371527777777777</v>
      </c>
      <c r="C952" s="26" t="s">
        <v>1284</v>
      </c>
    </row>
    <row r="953" spans="1:3" x14ac:dyDescent="0.25">
      <c r="A953" s="36">
        <v>41414</v>
      </c>
      <c r="B953" s="121">
        <v>0.84371527777777777</v>
      </c>
      <c r="C953" s="26" t="s">
        <v>1284</v>
      </c>
    </row>
    <row r="954" spans="1:3" x14ac:dyDescent="0.25">
      <c r="A954" s="36">
        <v>41414</v>
      </c>
      <c r="B954" s="121">
        <v>0.84371527777777777</v>
      </c>
      <c r="C954" s="26" t="s">
        <v>1285</v>
      </c>
    </row>
    <row r="955" spans="1:3" x14ac:dyDescent="0.25">
      <c r="A955" s="36">
        <v>41414</v>
      </c>
      <c r="B955" s="121">
        <v>0.84371527777777777</v>
      </c>
      <c r="C955" s="26" t="s">
        <v>1286</v>
      </c>
    </row>
    <row r="956" spans="1:3" x14ac:dyDescent="0.25">
      <c r="A956" s="36">
        <v>41414</v>
      </c>
      <c r="B956" s="121">
        <v>0.84371527777777777</v>
      </c>
      <c r="C956" s="26" t="s">
        <v>1287</v>
      </c>
    </row>
    <row r="957" spans="1:3" x14ac:dyDescent="0.25">
      <c r="A957" s="36">
        <v>41414</v>
      </c>
      <c r="B957" s="121">
        <v>0.84371527777777777</v>
      </c>
      <c r="C957" s="26" t="s">
        <v>1288</v>
      </c>
    </row>
    <row r="958" spans="1:3" x14ac:dyDescent="0.25">
      <c r="A958" s="36">
        <v>41414</v>
      </c>
      <c r="B958" s="121">
        <v>0.84371527777777777</v>
      </c>
      <c r="C958" s="26" t="s">
        <v>1289</v>
      </c>
    </row>
    <row r="959" spans="1:3" x14ac:dyDescent="0.25">
      <c r="A959" s="36">
        <v>41414</v>
      </c>
      <c r="B959" s="121">
        <v>0.84371527777777777</v>
      </c>
      <c r="C959" s="26" t="s">
        <v>1263</v>
      </c>
    </row>
    <row r="960" spans="1:3" x14ac:dyDescent="0.25">
      <c r="A960" s="36">
        <v>41414</v>
      </c>
      <c r="B960" s="121">
        <v>0.84371527777777777</v>
      </c>
      <c r="C960" s="26" t="s">
        <v>1290</v>
      </c>
    </row>
    <row r="961" spans="1:3" x14ac:dyDescent="0.25">
      <c r="A961" s="36">
        <v>41414</v>
      </c>
      <c r="B961" s="121">
        <v>0.84371527777777777</v>
      </c>
      <c r="C961" s="26" t="s">
        <v>1291</v>
      </c>
    </row>
    <row r="962" spans="1:3" x14ac:dyDescent="0.25">
      <c r="A962" s="36">
        <v>41414</v>
      </c>
      <c r="B962" s="121">
        <v>0.84371527777777777</v>
      </c>
      <c r="C962" s="26" t="s">
        <v>1293</v>
      </c>
    </row>
    <row r="963" spans="1:3" x14ac:dyDescent="0.25">
      <c r="A963" s="36">
        <v>41414</v>
      </c>
      <c r="B963" s="121">
        <v>0.84371527777777777</v>
      </c>
      <c r="C963" s="26" t="s">
        <v>1294</v>
      </c>
    </row>
    <row r="964" spans="1:3" x14ac:dyDescent="0.25">
      <c r="A964" s="36">
        <v>41414</v>
      </c>
      <c r="B964" s="121">
        <v>0.84371527777777777</v>
      </c>
      <c r="C964" s="26" t="s">
        <v>1295</v>
      </c>
    </row>
    <row r="965" spans="1:3" x14ac:dyDescent="0.25">
      <c r="A965" s="36">
        <v>41414</v>
      </c>
      <c r="B965" s="121">
        <v>0.84371527777777777</v>
      </c>
      <c r="C965" s="26" t="s">
        <v>1299</v>
      </c>
    </row>
    <row r="966" spans="1:3" x14ac:dyDescent="0.25">
      <c r="A966" s="36">
        <v>41414</v>
      </c>
      <c r="B966" s="121">
        <v>0.84371527777777777</v>
      </c>
      <c r="C966" s="26" t="s">
        <v>1267</v>
      </c>
    </row>
    <row r="967" spans="1:3" x14ac:dyDescent="0.25">
      <c r="A967" s="36">
        <v>41414</v>
      </c>
      <c r="B967" s="121">
        <v>0.84371527777777777</v>
      </c>
      <c r="C967" s="26" t="s">
        <v>1301</v>
      </c>
    </row>
    <row r="968" spans="1:3" x14ac:dyDescent="0.25">
      <c r="A968" s="36">
        <v>41414</v>
      </c>
      <c r="B968" s="121">
        <v>0.84371527777777777</v>
      </c>
      <c r="C968" s="26" t="s">
        <v>1302</v>
      </c>
    </row>
    <row r="969" spans="1:3" x14ac:dyDescent="0.25">
      <c r="A969" s="36">
        <v>41414</v>
      </c>
      <c r="B969" s="121">
        <v>0.84371527777777777</v>
      </c>
      <c r="C969" s="26" t="s">
        <v>1303</v>
      </c>
    </row>
    <row r="970" spans="1:3" x14ac:dyDescent="0.25">
      <c r="A970" s="36">
        <v>41414</v>
      </c>
      <c r="B970" s="121">
        <v>0.84371527777777777</v>
      </c>
      <c r="C970" s="26" t="s">
        <v>1304</v>
      </c>
    </row>
    <row r="971" spans="1:3" x14ac:dyDescent="0.25">
      <c r="A971" s="36">
        <v>41414</v>
      </c>
      <c r="B971" s="121">
        <v>0.84371527777777777</v>
      </c>
      <c r="C971" s="26" t="s">
        <v>1252</v>
      </c>
    </row>
    <row r="972" spans="1:3" x14ac:dyDescent="0.25">
      <c r="A972" s="36">
        <v>41414</v>
      </c>
      <c r="B972" s="121">
        <v>0.84371527777777777</v>
      </c>
      <c r="C972" s="26" t="s">
        <v>1305</v>
      </c>
    </row>
    <row r="973" spans="1:3" x14ac:dyDescent="0.25">
      <c r="A973" s="36">
        <v>41414</v>
      </c>
      <c r="B973" s="121">
        <v>0.84371527777777777</v>
      </c>
      <c r="C973" s="26" t="s">
        <v>1306</v>
      </c>
    </row>
    <row r="974" spans="1:3" x14ac:dyDescent="0.25">
      <c r="A974" s="36">
        <v>41414</v>
      </c>
      <c r="B974" s="121">
        <v>0.84371527777777777</v>
      </c>
      <c r="C974" s="26" t="s">
        <v>1290</v>
      </c>
    </row>
    <row r="975" spans="1:3" x14ac:dyDescent="0.25">
      <c r="A975" s="36">
        <v>41414</v>
      </c>
      <c r="B975" s="121">
        <v>0.84371527777777777</v>
      </c>
      <c r="C975" s="26" t="s">
        <v>1308</v>
      </c>
    </row>
    <row r="976" spans="1:3" x14ac:dyDescent="0.25">
      <c r="A976" s="36">
        <v>41414</v>
      </c>
      <c r="B976" s="121">
        <v>0.84371527777777777</v>
      </c>
      <c r="C976" s="26" t="s">
        <v>1308</v>
      </c>
    </row>
    <row r="977" spans="1:3" x14ac:dyDescent="0.25">
      <c r="A977" s="36">
        <v>41414</v>
      </c>
      <c r="B977" s="121">
        <v>0.84371527777777777</v>
      </c>
      <c r="C977" s="26" t="s">
        <v>1309</v>
      </c>
    </row>
    <row r="978" spans="1:3" x14ac:dyDescent="0.25">
      <c r="A978" s="36">
        <v>41414</v>
      </c>
      <c r="B978" s="121">
        <v>0.84371527777777777</v>
      </c>
      <c r="C978" s="26" t="s">
        <v>1303</v>
      </c>
    </row>
    <row r="979" spans="1:3" x14ac:dyDescent="0.25">
      <c r="A979" s="36">
        <v>41414</v>
      </c>
      <c r="B979" s="121">
        <v>0.84371527777777777</v>
      </c>
      <c r="C979" s="26" t="s">
        <v>1310</v>
      </c>
    </row>
    <row r="980" spans="1:3" x14ac:dyDescent="0.25">
      <c r="A980" s="36">
        <v>41414</v>
      </c>
      <c r="B980" s="121">
        <v>0.84371527777777777</v>
      </c>
      <c r="C980" s="26" t="s">
        <v>1311</v>
      </c>
    </row>
    <row r="981" spans="1:3" x14ac:dyDescent="0.25">
      <c r="A981" s="36">
        <v>41414</v>
      </c>
      <c r="B981" s="121">
        <v>0.84371527777777777</v>
      </c>
      <c r="C981" s="26" t="s">
        <v>1312</v>
      </c>
    </row>
    <row r="982" spans="1:3" x14ac:dyDescent="0.25">
      <c r="A982" s="36">
        <v>41414</v>
      </c>
      <c r="B982" s="121">
        <v>0.84371527777777777</v>
      </c>
      <c r="C982" s="26" t="s">
        <v>1273</v>
      </c>
    </row>
    <row r="983" spans="1:3" x14ac:dyDescent="0.25">
      <c r="A983" s="36">
        <v>41414</v>
      </c>
      <c r="B983" s="121">
        <v>0.84371527777777777</v>
      </c>
      <c r="C983" s="26" t="s">
        <v>1313</v>
      </c>
    </row>
    <row r="984" spans="1:3" x14ac:dyDescent="0.25">
      <c r="A984" s="36">
        <v>41414</v>
      </c>
      <c r="B984" s="121">
        <v>0.84371527777777777</v>
      </c>
      <c r="C984" s="26" t="s">
        <v>1314</v>
      </c>
    </row>
    <row r="985" spans="1:3" x14ac:dyDescent="0.25">
      <c r="A985" s="36">
        <v>41414</v>
      </c>
      <c r="B985" s="121">
        <v>0.84372685185185192</v>
      </c>
      <c r="C985" s="26" t="s">
        <v>1315</v>
      </c>
    </row>
    <row r="986" spans="1:3" x14ac:dyDescent="0.25">
      <c r="A986" s="36">
        <v>41414</v>
      </c>
      <c r="B986" s="121">
        <v>0.84372685185185192</v>
      </c>
      <c r="C986" s="26" t="s">
        <v>1310</v>
      </c>
    </row>
    <row r="987" spans="1:3" x14ac:dyDescent="0.25">
      <c r="A987" s="36">
        <v>41414</v>
      </c>
      <c r="B987" s="121">
        <v>0.84372685185185192</v>
      </c>
      <c r="C987" s="26" t="s">
        <v>1316</v>
      </c>
    </row>
    <row r="988" spans="1:3" x14ac:dyDescent="0.25">
      <c r="A988" s="36">
        <v>41414</v>
      </c>
      <c r="B988" s="121">
        <v>0.84372685185185192</v>
      </c>
      <c r="C988" s="26" t="s">
        <v>1317</v>
      </c>
    </row>
    <row r="989" spans="1:3" x14ac:dyDescent="0.25">
      <c r="A989" s="36">
        <v>41414</v>
      </c>
      <c r="B989" s="121">
        <v>0.84372685185185192</v>
      </c>
      <c r="C989" s="26" t="s">
        <v>1254</v>
      </c>
    </row>
    <row r="990" spans="1:3" x14ac:dyDescent="0.25">
      <c r="A990" s="36">
        <v>41414</v>
      </c>
      <c r="B990" s="121">
        <v>0.84372685185185192</v>
      </c>
      <c r="C990" s="26" t="s">
        <v>1254</v>
      </c>
    </row>
    <row r="991" spans="1:3" x14ac:dyDescent="0.25">
      <c r="A991" s="36">
        <v>41414</v>
      </c>
      <c r="B991" s="121">
        <v>0.84372685185185192</v>
      </c>
      <c r="C991" s="26" t="s">
        <v>1254</v>
      </c>
    </row>
    <row r="992" spans="1:3" x14ac:dyDescent="0.25">
      <c r="A992" s="36">
        <v>41414</v>
      </c>
      <c r="B992" s="121">
        <v>0.84372685185185192</v>
      </c>
      <c r="C992" s="26" t="s">
        <v>1318</v>
      </c>
    </row>
    <row r="993" spans="1:3" x14ac:dyDescent="0.25">
      <c r="A993" s="36">
        <v>41414</v>
      </c>
      <c r="B993" s="121">
        <v>0.84372685185185192</v>
      </c>
      <c r="C993" s="26" t="s">
        <v>1319</v>
      </c>
    </row>
    <row r="994" spans="1:3" x14ac:dyDescent="0.25">
      <c r="A994" s="36">
        <v>41414</v>
      </c>
      <c r="B994" s="121">
        <v>0.84372685185185192</v>
      </c>
      <c r="C994" s="26" t="s">
        <v>1265</v>
      </c>
    </row>
    <row r="995" spans="1:3" x14ac:dyDescent="0.25">
      <c r="A995" s="36">
        <v>41414</v>
      </c>
      <c r="B995" s="121">
        <v>0.84372685185185192</v>
      </c>
      <c r="C995" s="26" t="s">
        <v>1322</v>
      </c>
    </row>
    <row r="996" spans="1:3" x14ac:dyDescent="0.25">
      <c r="A996" s="36">
        <v>41414</v>
      </c>
      <c r="B996" s="121">
        <v>0.84372685185185192</v>
      </c>
      <c r="C996" s="26" t="s">
        <v>1323</v>
      </c>
    </row>
    <row r="997" spans="1:3" x14ac:dyDescent="0.25">
      <c r="A997" s="36">
        <v>41414</v>
      </c>
      <c r="B997" s="121">
        <v>0.84372685185185192</v>
      </c>
      <c r="C997" s="26" t="s">
        <v>1267</v>
      </c>
    </row>
    <row r="998" spans="1:3" x14ac:dyDescent="0.25">
      <c r="A998" s="36">
        <v>41414</v>
      </c>
      <c r="B998" s="121">
        <v>0.84372685185185192</v>
      </c>
      <c r="C998" s="26" t="s">
        <v>1324</v>
      </c>
    </row>
    <row r="999" spans="1:3" x14ac:dyDescent="0.25">
      <c r="A999" s="36">
        <v>41414</v>
      </c>
      <c r="B999" s="121">
        <v>0.84372685185185192</v>
      </c>
      <c r="C999" s="26" t="s">
        <v>1325</v>
      </c>
    </row>
    <row r="1000" spans="1:3" x14ac:dyDescent="0.25">
      <c r="A1000" s="36">
        <v>41414</v>
      </c>
      <c r="B1000" s="121">
        <v>0.84372685185185192</v>
      </c>
      <c r="C1000" s="26" t="s">
        <v>1326</v>
      </c>
    </row>
    <row r="1001" spans="1:3" x14ac:dyDescent="0.25">
      <c r="A1001" s="36">
        <v>41414</v>
      </c>
      <c r="B1001" s="121">
        <v>0.84372685185185192</v>
      </c>
      <c r="C1001" s="26" t="s">
        <v>1327</v>
      </c>
    </row>
    <row r="1002" spans="1:3" x14ac:dyDescent="0.25">
      <c r="A1002" s="36">
        <v>41414</v>
      </c>
      <c r="B1002" s="121">
        <v>0.84372685185185192</v>
      </c>
      <c r="C1002" s="26" t="s">
        <v>1328</v>
      </c>
    </row>
    <row r="1003" spans="1:3" x14ac:dyDescent="0.25">
      <c r="A1003" s="36">
        <v>41414</v>
      </c>
      <c r="B1003" s="121">
        <v>0.84372685185185192</v>
      </c>
      <c r="C1003" s="26" t="s">
        <v>1329</v>
      </c>
    </row>
    <row r="1004" spans="1:3" x14ac:dyDescent="0.25">
      <c r="A1004" s="36">
        <v>41414</v>
      </c>
      <c r="B1004" s="121">
        <v>0.84372685185185192</v>
      </c>
      <c r="C1004" s="26" t="s">
        <v>1329</v>
      </c>
    </row>
    <row r="1005" spans="1:3" x14ac:dyDescent="0.25">
      <c r="A1005" s="36">
        <v>41414</v>
      </c>
      <c r="B1005" s="121">
        <v>0.84372685185185192</v>
      </c>
      <c r="C1005" s="26" t="s">
        <v>1330</v>
      </c>
    </row>
    <row r="1006" spans="1:3" x14ac:dyDescent="0.25">
      <c r="A1006" s="36">
        <v>41414</v>
      </c>
      <c r="B1006" s="121">
        <v>0.84372685185185192</v>
      </c>
      <c r="C1006" s="26" t="s">
        <v>1262</v>
      </c>
    </row>
    <row r="1007" spans="1:3" x14ac:dyDescent="0.25">
      <c r="A1007" s="36">
        <v>41414</v>
      </c>
      <c r="B1007" s="121">
        <v>0.84372685185185192</v>
      </c>
      <c r="C1007" s="26" t="s">
        <v>1331</v>
      </c>
    </row>
    <row r="1008" spans="1:3" x14ac:dyDescent="0.25">
      <c r="A1008" s="36">
        <v>41414</v>
      </c>
      <c r="B1008" s="121">
        <v>0.84372685185185192</v>
      </c>
      <c r="C1008" s="26" t="s">
        <v>1332</v>
      </c>
    </row>
    <row r="1009" spans="1:3" x14ac:dyDescent="0.25">
      <c r="A1009" s="36">
        <v>41414</v>
      </c>
      <c r="B1009" s="121">
        <v>0.84372685185185192</v>
      </c>
      <c r="C1009" s="26" t="s">
        <v>1332</v>
      </c>
    </row>
    <row r="1010" spans="1:3" x14ac:dyDescent="0.25">
      <c r="A1010" s="36">
        <v>41414</v>
      </c>
      <c r="B1010" s="121">
        <v>0.84372685185185192</v>
      </c>
      <c r="C1010" s="26" t="s">
        <v>1333</v>
      </c>
    </row>
    <row r="1011" spans="1:3" x14ac:dyDescent="0.25">
      <c r="A1011" s="36">
        <v>41414</v>
      </c>
      <c r="B1011" s="121">
        <v>0.84372685185185192</v>
      </c>
      <c r="C1011" s="26" t="s">
        <v>1334</v>
      </c>
    </row>
    <row r="1012" spans="1:3" x14ac:dyDescent="0.25">
      <c r="A1012" s="36">
        <v>41414</v>
      </c>
      <c r="B1012" s="121">
        <v>0.84372685185185192</v>
      </c>
      <c r="C1012" s="26" t="s">
        <v>1335</v>
      </c>
    </row>
    <row r="1013" spans="1:3" x14ac:dyDescent="0.25">
      <c r="A1013" s="36">
        <v>41414</v>
      </c>
      <c r="B1013" s="121">
        <v>0.84372685185185192</v>
      </c>
      <c r="C1013" s="26" t="s">
        <v>1336</v>
      </c>
    </row>
    <row r="1014" spans="1:3" x14ac:dyDescent="0.25">
      <c r="A1014" s="36">
        <v>41414</v>
      </c>
      <c r="B1014" s="121">
        <v>0.84372685185185192</v>
      </c>
      <c r="C1014" s="26" t="s">
        <v>1338</v>
      </c>
    </row>
    <row r="1015" spans="1:3" x14ac:dyDescent="0.25">
      <c r="A1015" s="36">
        <v>41414</v>
      </c>
      <c r="B1015" s="121">
        <v>0.84372685185185192</v>
      </c>
      <c r="C1015" s="26" t="s">
        <v>1339</v>
      </c>
    </row>
    <row r="1016" spans="1:3" x14ac:dyDescent="0.25">
      <c r="A1016" s="36">
        <v>41414</v>
      </c>
      <c r="B1016" s="121">
        <v>0.84372685185185192</v>
      </c>
      <c r="C1016" s="26" t="s">
        <v>1340</v>
      </c>
    </row>
    <row r="1017" spans="1:3" x14ac:dyDescent="0.25">
      <c r="A1017" s="36">
        <v>41414</v>
      </c>
      <c r="B1017" s="121">
        <v>0.84372685185185192</v>
      </c>
      <c r="C1017" s="26" t="s">
        <v>1340</v>
      </c>
    </row>
    <row r="1018" spans="1:3" x14ac:dyDescent="0.25">
      <c r="A1018" s="36">
        <v>41414</v>
      </c>
      <c r="B1018" s="121">
        <v>0.84372685185185192</v>
      </c>
      <c r="C1018" s="26" t="s">
        <v>1265</v>
      </c>
    </row>
    <row r="1019" spans="1:3" x14ac:dyDescent="0.25">
      <c r="A1019" s="36">
        <v>41414</v>
      </c>
      <c r="B1019" s="121">
        <v>0.84372685185185192</v>
      </c>
      <c r="C1019" s="26" t="s">
        <v>1338</v>
      </c>
    </row>
    <row r="1020" spans="1:3" x14ac:dyDescent="0.25">
      <c r="A1020" s="36">
        <v>41414</v>
      </c>
      <c r="B1020" s="121">
        <v>0.84372685185185192</v>
      </c>
      <c r="C1020" s="26" t="s">
        <v>1252</v>
      </c>
    </row>
    <row r="1021" spans="1:3" x14ac:dyDescent="0.25">
      <c r="A1021" s="36">
        <v>41414</v>
      </c>
      <c r="B1021" s="121">
        <v>0.84372685185185192</v>
      </c>
      <c r="C1021" s="26" t="s">
        <v>1341</v>
      </c>
    </row>
    <row r="1022" spans="1:3" x14ac:dyDescent="0.25">
      <c r="A1022" s="36">
        <v>41414</v>
      </c>
      <c r="B1022" s="121">
        <v>0.84372685185185192</v>
      </c>
      <c r="C1022" s="26" t="s">
        <v>1342</v>
      </c>
    </row>
    <row r="1023" spans="1:3" x14ac:dyDescent="0.25">
      <c r="A1023" s="36">
        <v>41414</v>
      </c>
      <c r="B1023" s="121">
        <v>0.84372685185185192</v>
      </c>
      <c r="C1023" s="26" t="s">
        <v>1343</v>
      </c>
    </row>
    <row r="1024" spans="1:3" x14ac:dyDescent="0.25">
      <c r="A1024" s="36">
        <v>41414</v>
      </c>
      <c r="B1024" s="121">
        <v>0.84372685185185192</v>
      </c>
      <c r="C1024" s="26" t="s">
        <v>1344</v>
      </c>
    </row>
    <row r="1025" spans="1:3" x14ac:dyDescent="0.25">
      <c r="A1025" s="36">
        <v>41414</v>
      </c>
      <c r="B1025" s="121">
        <v>0.84372685185185192</v>
      </c>
      <c r="C1025" s="26" t="s">
        <v>1345</v>
      </c>
    </row>
    <row r="1026" spans="1:3" x14ac:dyDescent="0.25">
      <c r="A1026" s="36">
        <v>41414</v>
      </c>
      <c r="B1026" s="121">
        <v>0.84372685185185192</v>
      </c>
      <c r="C1026" s="26" t="s">
        <v>1332</v>
      </c>
    </row>
    <row r="1027" spans="1:3" x14ac:dyDescent="0.25">
      <c r="A1027" s="36">
        <v>41414</v>
      </c>
      <c r="B1027" s="121">
        <v>0.84372685185185192</v>
      </c>
      <c r="C1027" s="26" t="s">
        <v>1346</v>
      </c>
    </row>
    <row r="1028" spans="1:3" x14ac:dyDescent="0.25">
      <c r="A1028" s="36">
        <v>41414</v>
      </c>
      <c r="B1028" s="121">
        <v>0.84372685185185192</v>
      </c>
      <c r="C1028" s="26" t="s">
        <v>1315</v>
      </c>
    </row>
    <row r="1029" spans="1:3" x14ac:dyDescent="0.25">
      <c r="A1029" s="36">
        <v>41414</v>
      </c>
      <c r="B1029" s="121">
        <v>0.84372685185185192</v>
      </c>
      <c r="C1029" s="26" t="s">
        <v>1348</v>
      </c>
    </row>
    <row r="1030" spans="1:3" x14ac:dyDescent="0.25">
      <c r="A1030" s="36">
        <v>41414</v>
      </c>
      <c r="B1030" s="121">
        <v>0.84372685185185192</v>
      </c>
      <c r="C1030" s="26" t="s">
        <v>1314</v>
      </c>
    </row>
    <row r="1031" spans="1:3" x14ac:dyDescent="0.25">
      <c r="A1031" s="36">
        <v>41414</v>
      </c>
      <c r="B1031" s="121">
        <v>0.84372685185185192</v>
      </c>
      <c r="C1031" s="26" t="s">
        <v>1349</v>
      </c>
    </row>
    <row r="1032" spans="1:3" x14ac:dyDescent="0.25">
      <c r="A1032" s="36">
        <v>41414</v>
      </c>
      <c r="B1032" s="121">
        <v>0.84372685185185192</v>
      </c>
      <c r="C1032" s="26" t="s">
        <v>1351</v>
      </c>
    </row>
    <row r="1033" spans="1:3" x14ac:dyDescent="0.25">
      <c r="A1033" s="36">
        <v>41414</v>
      </c>
      <c r="B1033" s="121">
        <v>0.84372685185185192</v>
      </c>
      <c r="C1033" s="26" t="s">
        <v>1352</v>
      </c>
    </row>
    <row r="1034" spans="1:3" x14ac:dyDescent="0.25">
      <c r="A1034" s="36">
        <v>41414</v>
      </c>
      <c r="B1034" s="121">
        <v>0.84372685185185192</v>
      </c>
      <c r="C1034" s="26" t="s">
        <v>1354</v>
      </c>
    </row>
    <row r="1035" spans="1:3" x14ac:dyDescent="0.25">
      <c r="A1035" s="36">
        <v>41414</v>
      </c>
      <c r="B1035" s="121">
        <v>0.84372685185185192</v>
      </c>
      <c r="C1035" s="26" t="s">
        <v>1341</v>
      </c>
    </row>
    <row r="1036" spans="1:3" x14ac:dyDescent="0.25">
      <c r="A1036" s="36">
        <v>41414</v>
      </c>
      <c r="B1036" s="121">
        <v>0.84372685185185192</v>
      </c>
      <c r="C1036" s="26" t="s">
        <v>1486</v>
      </c>
    </row>
    <row r="1037" spans="1:3" x14ac:dyDescent="0.25">
      <c r="A1037" s="36">
        <v>41414</v>
      </c>
      <c r="B1037" s="121">
        <v>0.84372685185185192</v>
      </c>
      <c r="C1037" s="26" t="s">
        <v>1487</v>
      </c>
    </row>
    <row r="1038" spans="1:3" x14ac:dyDescent="0.25">
      <c r="A1038" s="36">
        <v>41414</v>
      </c>
      <c r="B1038" s="121">
        <v>0.84372685185185192</v>
      </c>
      <c r="C1038" s="26" t="s">
        <v>1259</v>
      </c>
    </row>
    <row r="1039" spans="1:3" x14ac:dyDescent="0.25">
      <c r="A1039" s="36">
        <v>41414</v>
      </c>
      <c r="B1039" s="121">
        <v>0.84372685185185192</v>
      </c>
      <c r="C1039" s="26" t="s">
        <v>1488</v>
      </c>
    </row>
    <row r="1040" spans="1:3" x14ac:dyDescent="0.25">
      <c r="A1040" s="36">
        <v>41414</v>
      </c>
      <c r="B1040" s="121">
        <v>0.84372685185185192</v>
      </c>
      <c r="C1040" s="26" t="s">
        <v>1489</v>
      </c>
    </row>
    <row r="1041" spans="1:3" x14ac:dyDescent="0.25">
      <c r="A1041" s="36">
        <v>41414</v>
      </c>
      <c r="B1041" s="121">
        <v>0.86495370370370372</v>
      </c>
      <c r="C1041" s="26" t="s">
        <v>1490</v>
      </c>
    </row>
    <row r="1042" spans="1:3" ht="30" x14ac:dyDescent="0.25">
      <c r="A1042" s="36">
        <v>41414</v>
      </c>
      <c r="B1042" s="121">
        <v>0.86542824074074076</v>
      </c>
      <c r="C1042" s="831" t="s">
        <v>1491</v>
      </c>
    </row>
    <row r="1043" spans="1:3" ht="45" x14ac:dyDescent="0.25">
      <c r="A1043" s="36">
        <v>41414</v>
      </c>
      <c r="B1043" s="121">
        <v>0.86678240740740742</v>
      </c>
      <c r="C1043" s="831" t="s">
        <v>1492</v>
      </c>
    </row>
    <row r="1044" spans="1:3" x14ac:dyDescent="0.25">
      <c r="A1044" s="36">
        <v>41414</v>
      </c>
      <c r="B1044" s="121">
        <v>0.87015046296296295</v>
      </c>
      <c r="C1044" s="26" t="s">
        <v>1400</v>
      </c>
    </row>
    <row r="1045" spans="1:3" x14ac:dyDescent="0.25">
      <c r="A1045" s="36">
        <v>41414</v>
      </c>
      <c r="B1045" s="121">
        <v>0.87015046296296295</v>
      </c>
      <c r="C1045" s="26" t="s">
        <v>1400</v>
      </c>
    </row>
    <row r="1046" spans="1:3" x14ac:dyDescent="0.25">
      <c r="A1046" s="36">
        <v>41414</v>
      </c>
      <c r="B1046" s="121">
        <v>0.87016203703703709</v>
      </c>
      <c r="C1046" s="26" t="s">
        <v>1401</v>
      </c>
    </row>
    <row r="1047" spans="1:3" x14ac:dyDescent="0.25">
      <c r="A1047" s="36">
        <v>41414</v>
      </c>
      <c r="B1047" s="121">
        <v>0.87016203703703709</v>
      </c>
      <c r="C1047" s="26" t="s">
        <v>1402</v>
      </c>
    </row>
    <row r="1048" spans="1:3" x14ac:dyDescent="0.25">
      <c r="A1048" s="36">
        <v>41414</v>
      </c>
      <c r="B1048" s="121">
        <v>0.87017361111111102</v>
      </c>
      <c r="C1048" s="26" t="s">
        <v>1403</v>
      </c>
    </row>
    <row r="1049" spans="1:3" x14ac:dyDescent="0.25">
      <c r="A1049" s="36">
        <v>41414</v>
      </c>
      <c r="B1049" s="121">
        <v>0.87017361111111102</v>
      </c>
      <c r="C1049" s="26" t="s">
        <v>1401</v>
      </c>
    </row>
    <row r="1050" spans="1:3" x14ac:dyDescent="0.25">
      <c r="A1050" s="36">
        <v>41414</v>
      </c>
      <c r="B1050" s="121">
        <v>0.87017361111111102</v>
      </c>
      <c r="C1050" s="26" t="s">
        <v>1401</v>
      </c>
    </row>
    <row r="1051" spans="1:3" x14ac:dyDescent="0.25">
      <c r="A1051" s="36">
        <v>41414</v>
      </c>
      <c r="B1051" s="121">
        <v>0.87018518518518517</v>
      </c>
      <c r="C1051" s="26" t="s">
        <v>1403</v>
      </c>
    </row>
    <row r="1052" spans="1:3" x14ac:dyDescent="0.25">
      <c r="A1052" s="36">
        <v>41414</v>
      </c>
      <c r="B1052" s="121">
        <v>0.87018518518518517</v>
      </c>
      <c r="C1052" s="26" t="s">
        <v>1404</v>
      </c>
    </row>
    <row r="1053" spans="1:3" x14ac:dyDescent="0.25">
      <c r="A1053" s="36">
        <v>41414</v>
      </c>
      <c r="B1053" s="121">
        <v>0.87019675925925932</v>
      </c>
      <c r="C1053" s="26" t="s">
        <v>1405</v>
      </c>
    </row>
    <row r="1054" spans="1:3" x14ac:dyDescent="0.25">
      <c r="A1054" s="36">
        <v>41414</v>
      </c>
      <c r="B1054" s="121">
        <v>0.87019675925925932</v>
      </c>
      <c r="C1054" s="26" t="s">
        <v>1406</v>
      </c>
    </row>
    <row r="1055" spans="1:3" x14ac:dyDescent="0.25">
      <c r="A1055" s="36">
        <v>41414</v>
      </c>
      <c r="B1055" s="121">
        <v>0.87019675925925932</v>
      </c>
      <c r="C1055" s="26" t="s">
        <v>1405</v>
      </c>
    </row>
    <row r="1056" spans="1:3" x14ac:dyDescent="0.25">
      <c r="A1056" s="36">
        <v>41414</v>
      </c>
      <c r="B1056" s="121">
        <v>0.87019675925925932</v>
      </c>
      <c r="C1056" s="26" t="s">
        <v>1405</v>
      </c>
    </row>
    <row r="1057" spans="1:3" x14ac:dyDescent="0.25">
      <c r="A1057" s="36">
        <v>41414</v>
      </c>
      <c r="B1057" s="121">
        <v>0.87020833333333336</v>
      </c>
      <c r="C1057" s="26" t="s">
        <v>1407</v>
      </c>
    </row>
    <row r="1058" spans="1:3" x14ac:dyDescent="0.25">
      <c r="A1058" s="36">
        <v>41414</v>
      </c>
      <c r="B1058" s="121">
        <v>0.87020833333333336</v>
      </c>
      <c r="C1058" s="26" t="s">
        <v>1408</v>
      </c>
    </row>
    <row r="1059" spans="1:3" x14ac:dyDescent="0.25">
      <c r="A1059" s="36">
        <v>41414</v>
      </c>
      <c r="B1059" s="121">
        <v>0.87020833333333336</v>
      </c>
      <c r="C1059" s="26" t="s">
        <v>1408</v>
      </c>
    </row>
    <row r="1060" spans="1:3" x14ac:dyDescent="0.25">
      <c r="A1060" s="36">
        <v>41414</v>
      </c>
      <c r="B1060" s="121">
        <v>0.87020833333333336</v>
      </c>
      <c r="C1060" s="26" t="s">
        <v>1409</v>
      </c>
    </row>
    <row r="1061" spans="1:3" x14ac:dyDescent="0.25">
      <c r="A1061" s="36">
        <v>41414</v>
      </c>
      <c r="B1061" s="121">
        <v>0.87020833333333336</v>
      </c>
      <c r="C1061" s="26" t="s">
        <v>1410</v>
      </c>
    </row>
    <row r="1062" spans="1:3" x14ac:dyDescent="0.25">
      <c r="A1062" s="36">
        <v>41414</v>
      </c>
      <c r="B1062" s="121">
        <v>0.87020833333333336</v>
      </c>
      <c r="C1062" s="26" t="s">
        <v>1411</v>
      </c>
    </row>
    <row r="1063" spans="1:3" x14ac:dyDescent="0.25">
      <c r="A1063" s="36">
        <v>41414</v>
      </c>
      <c r="B1063" s="121">
        <v>0.87020833333333336</v>
      </c>
      <c r="C1063" s="26" t="s">
        <v>1412</v>
      </c>
    </row>
    <row r="1064" spans="1:3" x14ac:dyDescent="0.25">
      <c r="A1064" s="36">
        <v>41414</v>
      </c>
      <c r="B1064" s="121">
        <v>0.87020833333333336</v>
      </c>
      <c r="C1064" s="26" t="s">
        <v>1405</v>
      </c>
    </row>
    <row r="1065" spans="1:3" x14ac:dyDescent="0.25">
      <c r="A1065" s="36">
        <v>41414</v>
      </c>
      <c r="B1065" s="121">
        <v>0.87020833333333336</v>
      </c>
      <c r="C1065" s="26" t="s">
        <v>1408</v>
      </c>
    </row>
    <row r="1066" spans="1:3" x14ac:dyDescent="0.25">
      <c r="A1066" s="36">
        <v>41414</v>
      </c>
      <c r="B1066" s="121">
        <v>0.87020833333333336</v>
      </c>
      <c r="C1066" s="26" t="s">
        <v>1411</v>
      </c>
    </row>
    <row r="1067" spans="1:3" x14ac:dyDescent="0.25">
      <c r="A1067" s="36">
        <v>41414</v>
      </c>
      <c r="B1067" s="121">
        <v>0.87020833333333336</v>
      </c>
      <c r="C1067" s="26" t="s">
        <v>1408</v>
      </c>
    </row>
    <row r="1068" spans="1:3" x14ac:dyDescent="0.25">
      <c r="A1068" s="36">
        <v>41414</v>
      </c>
      <c r="B1068" s="121">
        <v>0.8702199074074074</v>
      </c>
      <c r="C1068" s="26" t="s">
        <v>1411</v>
      </c>
    </row>
    <row r="1069" spans="1:3" x14ac:dyDescent="0.25">
      <c r="A1069" s="36">
        <v>41414</v>
      </c>
      <c r="B1069" s="121">
        <v>0.8702199074074074</v>
      </c>
      <c r="C1069" s="26" t="s">
        <v>1411</v>
      </c>
    </row>
    <row r="1070" spans="1:3" x14ac:dyDescent="0.25">
      <c r="A1070" s="36">
        <v>41414</v>
      </c>
      <c r="B1070" s="121">
        <v>0.8702199074074074</v>
      </c>
      <c r="C1070" s="26" t="s">
        <v>1410</v>
      </c>
    </row>
    <row r="1071" spans="1:3" x14ac:dyDescent="0.25">
      <c r="A1071" s="36">
        <v>41414</v>
      </c>
      <c r="B1071" s="121">
        <v>0.8702199074074074</v>
      </c>
      <c r="C1071" s="26" t="s">
        <v>1401</v>
      </c>
    </row>
    <row r="1072" spans="1:3" x14ac:dyDescent="0.25">
      <c r="A1072" s="36">
        <v>41414</v>
      </c>
      <c r="B1072" s="121">
        <v>0.8702199074074074</v>
      </c>
      <c r="C1072" s="26" t="s">
        <v>1408</v>
      </c>
    </row>
    <row r="1073" spans="1:3" x14ac:dyDescent="0.25">
      <c r="A1073" s="36">
        <v>41414</v>
      </c>
      <c r="B1073" s="121">
        <v>0.8702199074074074</v>
      </c>
      <c r="C1073" s="26" t="s">
        <v>1412</v>
      </c>
    </row>
    <row r="1074" spans="1:3" x14ac:dyDescent="0.25">
      <c r="A1074" s="36">
        <v>41414</v>
      </c>
      <c r="B1074" s="121">
        <v>0.8702199074074074</v>
      </c>
      <c r="C1074" s="26" t="s">
        <v>1412</v>
      </c>
    </row>
    <row r="1075" spans="1:3" x14ac:dyDescent="0.25">
      <c r="A1075" s="36">
        <v>41414</v>
      </c>
      <c r="B1075" s="121">
        <v>0.8702199074074074</v>
      </c>
      <c r="C1075" s="26" t="s">
        <v>1408</v>
      </c>
    </row>
    <row r="1076" spans="1:3" x14ac:dyDescent="0.25">
      <c r="A1076" s="36">
        <v>41414</v>
      </c>
      <c r="B1076" s="121">
        <v>0.8702199074074074</v>
      </c>
      <c r="C1076" s="26" t="s">
        <v>1414</v>
      </c>
    </row>
    <row r="1077" spans="1:3" x14ac:dyDescent="0.25">
      <c r="A1077" s="36">
        <v>41414</v>
      </c>
      <c r="B1077" s="121">
        <v>0.8702199074074074</v>
      </c>
      <c r="C1077" s="26" t="s">
        <v>1415</v>
      </c>
    </row>
    <row r="1078" spans="1:3" x14ac:dyDescent="0.25">
      <c r="A1078" s="36">
        <v>41414</v>
      </c>
      <c r="B1078" s="121">
        <v>0.8702199074074074</v>
      </c>
      <c r="C1078" s="26" t="s">
        <v>1411</v>
      </c>
    </row>
    <row r="1079" spans="1:3" x14ac:dyDescent="0.25">
      <c r="A1079" s="36">
        <v>41414</v>
      </c>
      <c r="B1079" s="121">
        <v>0.8702199074074074</v>
      </c>
      <c r="C1079" s="26" t="s">
        <v>1416</v>
      </c>
    </row>
    <row r="1080" spans="1:3" x14ac:dyDescent="0.25">
      <c r="A1080" s="36">
        <v>41414</v>
      </c>
      <c r="B1080" s="121">
        <v>0.8702199074074074</v>
      </c>
      <c r="C1080" s="26" t="s">
        <v>1416</v>
      </c>
    </row>
    <row r="1081" spans="1:3" x14ac:dyDescent="0.25">
      <c r="A1081" s="36">
        <v>41414</v>
      </c>
      <c r="B1081" s="121">
        <v>0.8702199074074074</v>
      </c>
      <c r="C1081" s="26" t="s">
        <v>1417</v>
      </c>
    </row>
    <row r="1082" spans="1:3" x14ac:dyDescent="0.25">
      <c r="A1082" s="36">
        <v>41414</v>
      </c>
      <c r="B1082" s="121">
        <v>0.8702199074074074</v>
      </c>
      <c r="C1082" s="26" t="s">
        <v>1403</v>
      </c>
    </row>
    <row r="1083" spans="1:3" x14ac:dyDescent="0.25">
      <c r="A1083" s="36">
        <v>41414</v>
      </c>
      <c r="B1083" s="121">
        <v>0.87023148148148144</v>
      </c>
      <c r="C1083" s="26" t="s">
        <v>1418</v>
      </c>
    </row>
    <row r="1084" spans="1:3" x14ac:dyDescent="0.25">
      <c r="A1084" s="36">
        <v>41414</v>
      </c>
      <c r="B1084" s="121">
        <v>0.87023148148148144</v>
      </c>
      <c r="C1084" s="26" t="s">
        <v>1493</v>
      </c>
    </row>
    <row r="1085" spans="1:3" x14ac:dyDescent="0.25">
      <c r="A1085" s="36">
        <v>41414</v>
      </c>
      <c r="B1085" s="121">
        <v>0.87023148148148144</v>
      </c>
      <c r="C1085" s="26" t="s">
        <v>1411</v>
      </c>
    </row>
    <row r="1086" spans="1:3" ht="30" x14ac:dyDescent="0.25">
      <c r="A1086" s="36">
        <v>41414</v>
      </c>
      <c r="B1086" s="121">
        <v>0.87023148148148144</v>
      </c>
      <c r="C1086" s="831" t="s">
        <v>1494</v>
      </c>
    </row>
    <row r="1087" spans="1:3" x14ac:dyDescent="0.25">
      <c r="A1087" s="36">
        <v>41414</v>
      </c>
      <c r="B1087" s="121">
        <v>0.87023148148148144</v>
      </c>
      <c r="C1087" s="26" t="s">
        <v>1495</v>
      </c>
    </row>
    <row r="1088" spans="1:3" x14ac:dyDescent="0.25">
      <c r="A1088" s="36">
        <v>41414</v>
      </c>
      <c r="B1088" s="121">
        <v>0.87053240740740734</v>
      </c>
      <c r="C1088" s="26" t="s">
        <v>1400</v>
      </c>
    </row>
    <row r="1089" spans="1:3" x14ac:dyDescent="0.25">
      <c r="A1089" s="36">
        <v>41414</v>
      </c>
      <c r="B1089" s="121">
        <v>0.87053240740740734</v>
      </c>
      <c r="C1089" s="26" t="s">
        <v>1400</v>
      </c>
    </row>
    <row r="1090" spans="1:3" x14ac:dyDescent="0.25">
      <c r="A1090" s="36">
        <v>41414</v>
      </c>
      <c r="B1090" s="121">
        <v>0.87053240740740734</v>
      </c>
      <c r="C1090" s="26" t="s">
        <v>1401</v>
      </c>
    </row>
    <row r="1091" spans="1:3" x14ac:dyDescent="0.25">
      <c r="A1091" s="36">
        <v>41414</v>
      </c>
      <c r="B1091" s="121">
        <v>0.87053240740740734</v>
      </c>
      <c r="C1091" s="26" t="s">
        <v>1402</v>
      </c>
    </row>
    <row r="1092" spans="1:3" x14ac:dyDescent="0.25">
      <c r="A1092" s="36">
        <v>41414</v>
      </c>
      <c r="B1092" s="121">
        <v>0.87054398148148149</v>
      </c>
      <c r="C1092" s="26" t="s">
        <v>1403</v>
      </c>
    </row>
    <row r="1093" spans="1:3" x14ac:dyDescent="0.25">
      <c r="A1093" s="36">
        <v>41414</v>
      </c>
      <c r="B1093" s="121">
        <v>0.87055555555555564</v>
      </c>
      <c r="C1093" s="26" t="s">
        <v>1401</v>
      </c>
    </row>
    <row r="1094" spans="1:3" x14ac:dyDescent="0.25">
      <c r="A1094" s="36">
        <v>41414</v>
      </c>
      <c r="B1094" s="121">
        <v>0.87055555555555564</v>
      </c>
      <c r="C1094" s="26" t="s">
        <v>1401</v>
      </c>
    </row>
    <row r="1095" spans="1:3" x14ac:dyDescent="0.25">
      <c r="A1095" s="36">
        <v>41414</v>
      </c>
      <c r="B1095" s="121">
        <v>0.87055555555555564</v>
      </c>
      <c r="C1095" s="26" t="s">
        <v>1403</v>
      </c>
    </row>
    <row r="1096" spans="1:3" x14ac:dyDescent="0.25">
      <c r="A1096" s="36">
        <v>41414</v>
      </c>
      <c r="B1096" s="121">
        <v>0.87056712962962957</v>
      </c>
      <c r="C1096" s="26" t="s">
        <v>1404</v>
      </c>
    </row>
    <row r="1097" spans="1:3" x14ac:dyDescent="0.25">
      <c r="A1097" s="36">
        <v>41414</v>
      </c>
      <c r="B1097" s="121">
        <v>0.87056712962962957</v>
      </c>
      <c r="C1097" s="26" t="s">
        <v>1405</v>
      </c>
    </row>
    <row r="1098" spans="1:3" x14ac:dyDescent="0.25">
      <c r="A1098" s="36">
        <v>41414</v>
      </c>
      <c r="B1098" s="121">
        <v>0.87056712962962957</v>
      </c>
      <c r="C1098" s="26" t="s">
        <v>1406</v>
      </c>
    </row>
    <row r="1099" spans="1:3" x14ac:dyDescent="0.25">
      <c r="A1099" s="36">
        <v>41414</v>
      </c>
      <c r="B1099" s="121">
        <v>0.87057870370370372</v>
      </c>
      <c r="C1099" s="26" t="s">
        <v>1405</v>
      </c>
    </row>
    <row r="1100" spans="1:3" x14ac:dyDescent="0.25">
      <c r="A1100" s="36">
        <v>41414</v>
      </c>
      <c r="B1100" s="121">
        <v>0.87057870370370372</v>
      </c>
      <c r="C1100" s="26" t="s">
        <v>1405</v>
      </c>
    </row>
    <row r="1101" spans="1:3" x14ac:dyDescent="0.25">
      <c r="A1101" s="36">
        <v>41414</v>
      </c>
      <c r="B1101" s="121">
        <v>0.87057870370370372</v>
      </c>
      <c r="C1101" s="26" t="s">
        <v>1407</v>
      </c>
    </row>
    <row r="1102" spans="1:3" x14ac:dyDescent="0.25">
      <c r="A1102" s="36">
        <v>41414</v>
      </c>
      <c r="B1102" s="121">
        <v>0.87057870370370372</v>
      </c>
      <c r="C1102" s="26" t="s">
        <v>1408</v>
      </c>
    </row>
    <row r="1103" spans="1:3" x14ac:dyDescent="0.25">
      <c r="A1103" s="36">
        <v>41414</v>
      </c>
      <c r="B1103" s="121">
        <v>0.87059027777777775</v>
      </c>
      <c r="C1103" s="26" t="s">
        <v>1408</v>
      </c>
    </row>
    <row r="1104" spans="1:3" x14ac:dyDescent="0.25">
      <c r="A1104" s="36">
        <v>41414</v>
      </c>
      <c r="B1104" s="121">
        <v>0.87059027777777775</v>
      </c>
      <c r="C1104" s="26" t="s">
        <v>1409</v>
      </c>
    </row>
    <row r="1105" spans="1:3" x14ac:dyDescent="0.25">
      <c r="A1105" s="36">
        <v>41414</v>
      </c>
      <c r="B1105" s="121">
        <v>0.87059027777777775</v>
      </c>
      <c r="C1105" s="26" t="s">
        <v>1410</v>
      </c>
    </row>
    <row r="1106" spans="1:3" x14ac:dyDescent="0.25">
      <c r="A1106" s="36">
        <v>41414</v>
      </c>
      <c r="B1106" s="121">
        <v>0.87059027777777775</v>
      </c>
      <c r="C1106" s="26" t="s">
        <v>1411</v>
      </c>
    </row>
    <row r="1107" spans="1:3" x14ac:dyDescent="0.25">
      <c r="A1107" s="36">
        <v>41414</v>
      </c>
      <c r="B1107" s="121">
        <v>0.87059027777777775</v>
      </c>
      <c r="C1107" s="26" t="s">
        <v>1412</v>
      </c>
    </row>
    <row r="1108" spans="1:3" x14ac:dyDescent="0.25">
      <c r="A1108" s="36">
        <v>41414</v>
      </c>
      <c r="B1108" s="121">
        <v>0.87059027777777775</v>
      </c>
      <c r="C1108" s="26" t="s">
        <v>1405</v>
      </c>
    </row>
    <row r="1109" spans="1:3" x14ac:dyDescent="0.25">
      <c r="A1109" s="36">
        <v>41414</v>
      </c>
      <c r="B1109" s="121">
        <v>0.87059027777777775</v>
      </c>
      <c r="C1109" s="26" t="s">
        <v>1408</v>
      </c>
    </row>
    <row r="1110" spans="1:3" x14ac:dyDescent="0.25">
      <c r="A1110" s="36">
        <v>41414</v>
      </c>
      <c r="B1110" s="121">
        <v>0.87059027777777775</v>
      </c>
      <c r="C1110" s="26" t="s">
        <v>1411</v>
      </c>
    </row>
    <row r="1111" spans="1:3" x14ac:dyDescent="0.25">
      <c r="A1111" s="36">
        <v>41414</v>
      </c>
      <c r="B1111" s="121">
        <v>0.87059027777777775</v>
      </c>
      <c r="C1111" s="26" t="s">
        <v>1408</v>
      </c>
    </row>
    <row r="1112" spans="1:3" x14ac:dyDescent="0.25">
      <c r="A1112" s="36">
        <v>41414</v>
      </c>
      <c r="B1112" s="121">
        <v>0.87059027777777775</v>
      </c>
      <c r="C1112" s="26" t="s">
        <v>1411</v>
      </c>
    </row>
    <row r="1113" spans="1:3" x14ac:dyDescent="0.25">
      <c r="A1113" s="36">
        <v>41414</v>
      </c>
      <c r="B1113" s="121">
        <v>0.87059027777777775</v>
      </c>
      <c r="C1113" s="26" t="s">
        <v>1411</v>
      </c>
    </row>
    <row r="1114" spans="1:3" x14ac:dyDescent="0.25">
      <c r="A1114" s="36">
        <v>41414</v>
      </c>
      <c r="B1114" s="121">
        <v>0.87059027777777775</v>
      </c>
      <c r="C1114" s="26" t="s">
        <v>1410</v>
      </c>
    </row>
    <row r="1115" spans="1:3" x14ac:dyDescent="0.25">
      <c r="A1115" s="36">
        <v>41414</v>
      </c>
      <c r="B1115" s="121">
        <v>0.87059027777777775</v>
      </c>
      <c r="C1115" s="26" t="s">
        <v>1401</v>
      </c>
    </row>
    <row r="1116" spans="1:3" x14ac:dyDescent="0.25">
      <c r="A1116" s="36">
        <v>41414</v>
      </c>
      <c r="B1116" s="121">
        <v>0.87059027777777775</v>
      </c>
      <c r="C1116" s="26" t="s">
        <v>1408</v>
      </c>
    </row>
    <row r="1117" spans="1:3" x14ac:dyDescent="0.25">
      <c r="A1117" s="36">
        <v>41414</v>
      </c>
      <c r="B1117" s="121">
        <v>0.87059027777777775</v>
      </c>
      <c r="C1117" s="26" t="s">
        <v>1412</v>
      </c>
    </row>
    <row r="1118" spans="1:3" x14ac:dyDescent="0.25">
      <c r="A1118" s="36">
        <v>41414</v>
      </c>
      <c r="B1118" s="121">
        <v>0.87059027777777775</v>
      </c>
      <c r="C1118" s="26" t="s">
        <v>1412</v>
      </c>
    </row>
    <row r="1119" spans="1:3" x14ac:dyDescent="0.25">
      <c r="A1119" s="36">
        <v>41414</v>
      </c>
      <c r="B1119" s="121">
        <v>0.8706018518518519</v>
      </c>
      <c r="C1119" s="26" t="s">
        <v>1408</v>
      </c>
    </row>
    <row r="1120" spans="1:3" x14ac:dyDescent="0.25">
      <c r="A1120" s="36">
        <v>41414</v>
      </c>
      <c r="B1120" s="121">
        <v>0.8706018518518519</v>
      </c>
      <c r="C1120" s="26" t="s">
        <v>1414</v>
      </c>
    </row>
    <row r="1121" spans="1:3" x14ac:dyDescent="0.25">
      <c r="A1121" s="36">
        <v>41414</v>
      </c>
      <c r="B1121" s="121">
        <v>0.8706018518518519</v>
      </c>
      <c r="C1121" s="26" t="s">
        <v>1415</v>
      </c>
    </row>
    <row r="1122" spans="1:3" x14ac:dyDescent="0.25">
      <c r="A1122" s="36">
        <v>41414</v>
      </c>
      <c r="B1122" s="121">
        <v>0.8706018518518519</v>
      </c>
      <c r="C1122" s="26" t="s">
        <v>1411</v>
      </c>
    </row>
    <row r="1123" spans="1:3" x14ac:dyDescent="0.25">
      <c r="A1123" s="36">
        <v>41414</v>
      </c>
      <c r="B1123" s="121">
        <v>0.8706018518518519</v>
      </c>
      <c r="C1123" s="26" t="s">
        <v>1416</v>
      </c>
    </row>
    <row r="1124" spans="1:3" x14ac:dyDescent="0.25">
      <c r="A1124" s="36">
        <v>41414</v>
      </c>
      <c r="B1124" s="121">
        <v>0.8706018518518519</v>
      </c>
      <c r="C1124" s="26" t="s">
        <v>1416</v>
      </c>
    </row>
    <row r="1125" spans="1:3" x14ac:dyDescent="0.25">
      <c r="A1125" s="36">
        <v>41414</v>
      </c>
      <c r="B1125" s="121">
        <v>0.8706018518518519</v>
      </c>
      <c r="C1125" s="26" t="s">
        <v>1417</v>
      </c>
    </row>
    <row r="1126" spans="1:3" x14ac:dyDescent="0.25">
      <c r="A1126" s="36">
        <v>41414</v>
      </c>
      <c r="B1126" s="121">
        <v>0.8706018518518519</v>
      </c>
      <c r="C1126" s="26" t="s">
        <v>1403</v>
      </c>
    </row>
    <row r="1127" spans="1:3" x14ac:dyDescent="0.25">
      <c r="A1127" s="36">
        <v>41414</v>
      </c>
      <c r="B1127" s="121">
        <v>0.8706018518518519</v>
      </c>
      <c r="C1127" s="26" t="s">
        <v>1418</v>
      </c>
    </row>
    <row r="1128" spans="1:3" x14ac:dyDescent="0.25">
      <c r="A1128" s="36">
        <v>41414</v>
      </c>
      <c r="B1128" s="121">
        <v>0.8706018518518519</v>
      </c>
      <c r="C1128" s="26" t="s">
        <v>1493</v>
      </c>
    </row>
    <row r="1129" spans="1:3" x14ac:dyDescent="0.25">
      <c r="A1129" s="36">
        <v>41414</v>
      </c>
      <c r="B1129" s="121">
        <v>0.8706018518518519</v>
      </c>
      <c r="C1129" s="26" t="s">
        <v>1411</v>
      </c>
    </row>
    <row r="1130" spans="1:3" ht="30" x14ac:dyDescent="0.25">
      <c r="A1130" s="36">
        <v>41414</v>
      </c>
      <c r="B1130" s="121">
        <v>0.8706018518518519</v>
      </c>
      <c r="C1130" s="831" t="s">
        <v>1496</v>
      </c>
    </row>
    <row r="1131" spans="1:3" x14ac:dyDescent="0.25">
      <c r="A1131" s="36">
        <v>41414</v>
      </c>
      <c r="B1131" s="121">
        <v>0.87061342592592583</v>
      </c>
      <c r="C1131" s="26" t="s">
        <v>1497</v>
      </c>
    </row>
    <row r="1132" spans="1:3" x14ac:dyDescent="0.25">
      <c r="A1132" s="36">
        <v>41414</v>
      </c>
      <c r="B1132" s="121">
        <v>0.8746990740740741</v>
      </c>
      <c r="C1132" s="26" t="s">
        <v>1498</v>
      </c>
    </row>
    <row r="1133" spans="1:3" ht="30" x14ac:dyDescent="0.25">
      <c r="A1133" s="36">
        <v>41414</v>
      </c>
      <c r="B1133" s="121">
        <v>0.87510416666666668</v>
      </c>
      <c r="C1133" s="831" t="s">
        <v>1499</v>
      </c>
    </row>
    <row r="1134" spans="1:3" ht="45" x14ac:dyDescent="0.25">
      <c r="A1134" s="36">
        <v>41414</v>
      </c>
      <c r="B1134" s="121">
        <v>0.87663194444444448</v>
      </c>
      <c r="C1134" s="831" t="s">
        <v>1500</v>
      </c>
    </row>
    <row r="1135" spans="1:3" x14ac:dyDescent="0.25">
      <c r="A1135" s="36">
        <v>41414</v>
      </c>
      <c r="B1135" s="121">
        <v>0.87729166666666669</v>
      </c>
      <c r="C1135" s="26" t="s">
        <v>1229</v>
      </c>
    </row>
    <row r="1136" spans="1:3" x14ac:dyDescent="0.25">
      <c r="A1136" s="36">
        <v>41414</v>
      </c>
      <c r="B1136" s="121">
        <v>0.87730324074074073</v>
      </c>
      <c r="C1136" s="26" t="s">
        <v>1230</v>
      </c>
    </row>
    <row r="1137" spans="1:3" x14ac:dyDescent="0.25">
      <c r="A1137" s="36">
        <v>41414</v>
      </c>
      <c r="B1137" s="121">
        <v>0.87730324074074073</v>
      </c>
      <c r="C1137" s="26" t="s">
        <v>1231</v>
      </c>
    </row>
    <row r="1138" spans="1:3" x14ac:dyDescent="0.25">
      <c r="A1138" s="36">
        <v>41414</v>
      </c>
      <c r="B1138" s="121">
        <v>0.87730324074074073</v>
      </c>
      <c r="C1138" s="26" t="s">
        <v>1232</v>
      </c>
    </row>
    <row r="1139" spans="1:3" x14ac:dyDescent="0.25">
      <c r="A1139" s="36">
        <v>41414</v>
      </c>
      <c r="B1139" s="121">
        <v>0.87730324074074073</v>
      </c>
      <c r="C1139" s="26" t="s">
        <v>1233</v>
      </c>
    </row>
    <row r="1140" spans="1:3" x14ac:dyDescent="0.25">
      <c r="A1140" s="36">
        <v>41414</v>
      </c>
      <c r="B1140" s="121">
        <v>0.87730324074074073</v>
      </c>
      <c r="C1140" s="26" t="s">
        <v>1234</v>
      </c>
    </row>
    <row r="1141" spans="1:3" x14ac:dyDescent="0.25">
      <c r="A1141" s="36">
        <v>41414</v>
      </c>
      <c r="B1141" s="121">
        <v>0.87730324074074073</v>
      </c>
      <c r="C1141" s="26" t="s">
        <v>1235</v>
      </c>
    </row>
    <row r="1142" spans="1:3" x14ac:dyDescent="0.25">
      <c r="A1142" s="36">
        <v>41414</v>
      </c>
      <c r="B1142" s="121">
        <v>0.87730324074074073</v>
      </c>
      <c r="C1142" s="26" t="s">
        <v>1236</v>
      </c>
    </row>
    <row r="1143" spans="1:3" x14ac:dyDescent="0.25">
      <c r="A1143" s="36">
        <v>41414</v>
      </c>
      <c r="B1143" s="121">
        <v>0.87730324074074073</v>
      </c>
      <c r="C1143" s="26" t="s">
        <v>1237</v>
      </c>
    </row>
    <row r="1144" spans="1:3" x14ac:dyDescent="0.25">
      <c r="A1144" s="36">
        <v>41414</v>
      </c>
      <c r="B1144" s="121">
        <v>0.87730324074074073</v>
      </c>
      <c r="C1144" s="26" t="s">
        <v>1238</v>
      </c>
    </row>
    <row r="1145" spans="1:3" x14ac:dyDescent="0.25">
      <c r="A1145" s="36">
        <v>41414</v>
      </c>
      <c r="B1145" s="121">
        <v>0.87730324074074073</v>
      </c>
      <c r="C1145" s="26" t="s">
        <v>1239</v>
      </c>
    </row>
    <row r="1146" spans="1:3" x14ac:dyDescent="0.25">
      <c r="A1146" s="36">
        <v>41414</v>
      </c>
      <c r="B1146" s="121">
        <v>0.87730324074074073</v>
      </c>
      <c r="C1146" s="26" t="s">
        <v>1241</v>
      </c>
    </row>
    <row r="1147" spans="1:3" x14ac:dyDescent="0.25">
      <c r="A1147" s="36">
        <v>41414</v>
      </c>
      <c r="B1147" s="121">
        <v>0.87730324074074073</v>
      </c>
      <c r="C1147" s="26" t="s">
        <v>1240</v>
      </c>
    </row>
    <row r="1148" spans="1:3" x14ac:dyDescent="0.25">
      <c r="A1148" s="36">
        <v>41414</v>
      </c>
      <c r="B1148" s="121">
        <v>0.87730324074074073</v>
      </c>
      <c r="C1148" s="26" t="s">
        <v>1242</v>
      </c>
    </row>
    <row r="1149" spans="1:3" x14ac:dyDescent="0.25">
      <c r="A1149" s="36">
        <v>41414</v>
      </c>
      <c r="B1149" s="121">
        <v>0.87730324074074073</v>
      </c>
      <c r="C1149" s="26" t="s">
        <v>1243</v>
      </c>
    </row>
    <row r="1150" spans="1:3" x14ac:dyDescent="0.25">
      <c r="A1150" s="36">
        <v>41414</v>
      </c>
      <c r="B1150" s="121">
        <v>0.87730324074074073</v>
      </c>
      <c r="C1150" s="26" t="s">
        <v>1245</v>
      </c>
    </row>
    <row r="1151" spans="1:3" x14ac:dyDescent="0.25">
      <c r="A1151" s="36">
        <v>41414</v>
      </c>
      <c r="B1151" s="121">
        <v>0.87730324074074073</v>
      </c>
      <c r="C1151" s="26" t="s">
        <v>1244</v>
      </c>
    </row>
    <row r="1152" spans="1:3" x14ac:dyDescent="0.25">
      <c r="A1152" s="36">
        <v>41414</v>
      </c>
      <c r="B1152" s="121">
        <v>0.87730324074074073</v>
      </c>
      <c r="C1152" s="26" t="s">
        <v>1233</v>
      </c>
    </row>
    <row r="1153" spans="1:3" x14ac:dyDescent="0.25">
      <c r="A1153" s="36">
        <v>41414</v>
      </c>
      <c r="B1153" s="121">
        <v>0.87730324074074073</v>
      </c>
      <c r="C1153" s="26" t="s">
        <v>1249</v>
      </c>
    </row>
    <row r="1154" spans="1:3" x14ac:dyDescent="0.25">
      <c r="A1154" s="36">
        <v>41414</v>
      </c>
      <c r="B1154" s="121">
        <v>0.87730324074074073</v>
      </c>
      <c r="C1154" s="26" t="s">
        <v>1248</v>
      </c>
    </row>
    <row r="1155" spans="1:3" x14ac:dyDescent="0.25">
      <c r="A1155" s="36">
        <v>41414</v>
      </c>
      <c r="B1155" s="121">
        <v>0.87730324074074073</v>
      </c>
      <c r="C1155" s="26" t="s">
        <v>1250</v>
      </c>
    </row>
    <row r="1156" spans="1:3" x14ac:dyDescent="0.25">
      <c r="A1156" s="36">
        <v>41414</v>
      </c>
      <c r="B1156" s="121">
        <v>0.87730324074074073</v>
      </c>
      <c r="C1156" s="26" t="s">
        <v>1251</v>
      </c>
    </row>
    <row r="1157" spans="1:3" x14ac:dyDescent="0.25">
      <c r="A1157" s="36">
        <v>41414</v>
      </c>
      <c r="B1157" s="121">
        <v>0.87730324074074073</v>
      </c>
      <c r="C1157" s="26" t="s">
        <v>1252</v>
      </c>
    </row>
    <row r="1158" spans="1:3" x14ac:dyDescent="0.25">
      <c r="A1158" s="36">
        <v>41414</v>
      </c>
      <c r="B1158" s="121">
        <v>0.87730324074074073</v>
      </c>
      <c r="C1158" s="26" t="s">
        <v>1253</v>
      </c>
    </row>
    <row r="1159" spans="1:3" x14ac:dyDescent="0.25">
      <c r="A1159" s="36">
        <v>41414</v>
      </c>
      <c r="B1159" s="121">
        <v>0.87730324074074073</v>
      </c>
      <c r="C1159" s="26" t="s">
        <v>1254</v>
      </c>
    </row>
    <row r="1160" spans="1:3" x14ac:dyDescent="0.25">
      <c r="A1160" s="36">
        <v>41414</v>
      </c>
      <c r="B1160" s="121">
        <v>0.87730324074074073</v>
      </c>
      <c r="C1160" s="26" t="s">
        <v>1255</v>
      </c>
    </row>
    <row r="1161" spans="1:3" x14ac:dyDescent="0.25">
      <c r="A1161" s="36">
        <v>41414</v>
      </c>
      <c r="B1161" s="121">
        <v>0.87730324074074073</v>
      </c>
      <c r="C1161" s="26" t="s">
        <v>1236</v>
      </c>
    </row>
    <row r="1162" spans="1:3" x14ac:dyDescent="0.25">
      <c r="A1162" s="36">
        <v>41414</v>
      </c>
      <c r="B1162" s="121">
        <v>0.87730324074074073</v>
      </c>
      <c r="C1162" s="26" t="s">
        <v>1257</v>
      </c>
    </row>
    <row r="1163" spans="1:3" x14ac:dyDescent="0.25">
      <c r="A1163" s="36">
        <v>41414</v>
      </c>
      <c r="B1163" s="121">
        <v>0.87730324074074073</v>
      </c>
      <c r="C1163" s="26" t="s">
        <v>1258</v>
      </c>
    </row>
    <row r="1164" spans="1:3" x14ac:dyDescent="0.25">
      <c r="A1164" s="36">
        <v>41414</v>
      </c>
      <c r="B1164" s="121">
        <v>0.87731481481481488</v>
      </c>
      <c r="C1164" s="26" t="s">
        <v>1259</v>
      </c>
    </row>
    <row r="1165" spans="1:3" x14ac:dyDescent="0.25">
      <c r="A1165" s="36">
        <v>41414</v>
      </c>
      <c r="B1165" s="121">
        <v>0.87731481481481488</v>
      </c>
      <c r="C1165" s="26" t="s">
        <v>1260</v>
      </c>
    </row>
    <row r="1166" spans="1:3" x14ac:dyDescent="0.25">
      <c r="A1166" s="36">
        <v>41414</v>
      </c>
      <c r="B1166" s="121">
        <v>0.87731481481481488</v>
      </c>
      <c r="C1166" s="26" t="s">
        <v>1260</v>
      </c>
    </row>
    <row r="1167" spans="1:3" x14ac:dyDescent="0.25">
      <c r="A1167" s="36">
        <v>41414</v>
      </c>
      <c r="B1167" s="121">
        <v>0.87731481481481488</v>
      </c>
      <c r="C1167" s="26" t="s">
        <v>1261</v>
      </c>
    </row>
    <row r="1168" spans="1:3" x14ac:dyDescent="0.25">
      <c r="A1168" s="36">
        <v>41414</v>
      </c>
      <c r="B1168" s="121">
        <v>0.87731481481481488</v>
      </c>
      <c r="C1168" s="26" t="s">
        <v>1260</v>
      </c>
    </row>
    <row r="1169" spans="1:3" x14ac:dyDescent="0.25">
      <c r="A1169" s="36">
        <v>41414</v>
      </c>
      <c r="B1169" s="121">
        <v>0.87731481481481488</v>
      </c>
      <c r="C1169" s="26" t="s">
        <v>1260</v>
      </c>
    </row>
    <row r="1170" spans="1:3" x14ac:dyDescent="0.25">
      <c r="A1170" s="36">
        <v>41414</v>
      </c>
      <c r="B1170" s="121">
        <v>0.87731481481481488</v>
      </c>
      <c r="C1170" s="26" t="s">
        <v>1236</v>
      </c>
    </row>
    <row r="1171" spans="1:3" x14ac:dyDescent="0.25">
      <c r="A1171" s="36">
        <v>41414</v>
      </c>
      <c r="B1171" s="121">
        <v>0.87731481481481488</v>
      </c>
      <c r="C1171" s="26" t="s">
        <v>1262</v>
      </c>
    </row>
    <row r="1172" spans="1:3" x14ac:dyDescent="0.25">
      <c r="A1172" s="36">
        <v>41414</v>
      </c>
      <c r="B1172" s="121">
        <v>0.87731481481481488</v>
      </c>
      <c r="C1172" s="26" t="s">
        <v>1254</v>
      </c>
    </row>
    <row r="1173" spans="1:3" x14ac:dyDescent="0.25">
      <c r="A1173" s="36">
        <v>41414</v>
      </c>
      <c r="B1173" s="121">
        <v>0.87731481481481488</v>
      </c>
      <c r="C1173" s="26" t="s">
        <v>1254</v>
      </c>
    </row>
    <row r="1174" spans="1:3" x14ac:dyDescent="0.25">
      <c r="A1174" s="36">
        <v>41414</v>
      </c>
      <c r="B1174" s="121">
        <v>0.87731481481481488</v>
      </c>
      <c r="C1174" s="26" t="s">
        <v>1263</v>
      </c>
    </row>
    <row r="1175" spans="1:3" x14ac:dyDescent="0.25">
      <c r="A1175" s="36">
        <v>41414</v>
      </c>
      <c r="B1175" s="121">
        <v>0.87731481481481488</v>
      </c>
      <c r="C1175" s="26" t="s">
        <v>1254</v>
      </c>
    </row>
    <row r="1176" spans="1:3" x14ac:dyDescent="0.25">
      <c r="A1176" s="36">
        <v>41414</v>
      </c>
      <c r="B1176" s="121">
        <v>0.87731481481481488</v>
      </c>
      <c r="C1176" s="26" t="s">
        <v>1252</v>
      </c>
    </row>
    <row r="1177" spans="1:3" x14ac:dyDescent="0.25">
      <c r="A1177" s="36">
        <v>41414</v>
      </c>
      <c r="B1177" s="121">
        <v>0.87731481481481488</v>
      </c>
      <c r="C1177" s="26" t="s">
        <v>1264</v>
      </c>
    </row>
    <row r="1178" spans="1:3" x14ac:dyDescent="0.25">
      <c r="A1178" s="36">
        <v>41414</v>
      </c>
      <c r="B1178" s="121">
        <v>0.87731481481481488</v>
      </c>
      <c r="C1178" s="26" t="s">
        <v>1260</v>
      </c>
    </row>
    <row r="1179" spans="1:3" x14ac:dyDescent="0.25">
      <c r="A1179" s="36">
        <v>41414</v>
      </c>
      <c r="B1179" s="121">
        <v>0.87731481481481488</v>
      </c>
      <c r="C1179" s="26" t="s">
        <v>1265</v>
      </c>
    </row>
    <row r="1180" spans="1:3" x14ac:dyDescent="0.25">
      <c r="A1180" s="36">
        <v>41414</v>
      </c>
      <c r="B1180" s="121">
        <v>0.87731481481481488</v>
      </c>
      <c r="C1180" s="26" t="s">
        <v>1260</v>
      </c>
    </row>
    <row r="1181" spans="1:3" x14ac:dyDescent="0.25">
      <c r="A1181" s="36">
        <v>41414</v>
      </c>
      <c r="B1181" s="121">
        <v>0.87731481481481488</v>
      </c>
      <c r="C1181" s="26" t="s">
        <v>1267</v>
      </c>
    </row>
    <row r="1182" spans="1:3" x14ac:dyDescent="0.25">
      <c r="A1182" s="36">
        <v>41414</v>
      </c>
      <c r="B1182" s="121">
        <v>0.87731481481481488</v>
      </c>
      <c r="C1182" s="26" t="s">
        <v>1268</v>
      </c>
    </row>
    <row r="1183" spans="1:3" x14ac:dyDescent="0.25">
      <c r="A1183" s="36">
        <v>41414</v>
      </c>
      <c r="B1183" s="121">
        <v>0.87731481481481488</v>
      </c>
      <c r="C1183" s="26" t="s">
        <v>1269</v>
      </c>
    </row>
    <row r="1184" spans="1:3" x14ac:dyDescent="0.25">
      <c r="A1184" s="36">
        <v>41414</v>
      </c>
      <c r="B1184" s="121">
        <v>0.87731481481481488</v>
      </c>
      <c r="C1184" s="26" t="s">
        <v>1270</v>
      </c>
    </row>
    <row r="1185" spans="1:3" x14ac:dyDescent="0.25">
      <c r="A1185" s="36">
        <v>41414</v>
      </c>
      <c r="B1185" s="121">
        <v>0.87731481481481488</v>
      </c>
      <c r="C1185" s="26" t="s">
        <v>1272</v>
      </c>
    </row>
    <row r="1186" spans="1:3" x14ac:dyDescent="0.25">
      <c r="A1186" s="36">
        <v>41414</v>
      </c>
      <c r="B1186" s="121">
        <v>0.87731481481481488</v>
      </c>
      <c r="C1186" s="26" t="s">
        <v>1271</v>
      </c>
    </row>
    <row r="1187" spans="1:3" x14ac:dyDescent="0.25">
      <c r="A1187" s="36">
        <v>41414</v>
      </c>
      <c r="B1187" s="121">
        <v>0.87731481481481488</v>
      </c>
      <c r="C1187" s="26" t="s">
        <v>1273</v>
      </c>
    </row>
    <row r="1188" spans="1:3" x14ac:dyDescent="0.25">
      <c r="A1188" s="36">
        <v>41414</v>
      </c>
      <c r="B1188" s="121">
        <v>0.87731481481481488</v>
      </c>
      <c r="C1188" s="26" t="s">
        <v>1274</v>
      </c>
    </row>
    <row r="1189" spans="1:3" x14ac:dyDescent="0.25">
      <c r="A1189" s="36">
        <v>41414</v>
      </c>
      <c r="B1189" s="121">
        <v>0.87731481481481488</v>
      </c>
      <c r="C1189" s="26" t="s">
        <v>1275</v>
      </c>
    </row>
    <row r="1190" spans="1:3" x14ac:dyDescent="0.25">
      <c r="A1190" s="36">
        <v>41414</v>
      </c>
      <c r="B1190" s="121">
        <v>0.87731481481481488</v>
      </c>
      <c r="C1190" s="26" t="s">
        <v>1276</v>
      </c>
    </row>
    <row r="1191" spans="1:3" x14ac:dyDescent="0.25">
      <c r="A1191" s="36">
        <v>41414</v>
      </c>
      <c r="B1191" s="121">
        <v>0.87731481481481488</v>
      </c>
      <c r="C1191" s="26" t="s">
        <v>1277</v>
      </c>
    </row>
    <row r="1192" spans="1:3" x14ac:dyDescent="0.25">
      <c r="A1192" s="36">
        <v>41414</v>
      </c>
      <c r="B1192" s="121">
        <v>0.87731481481481488</v>
      </c>
      <c r="C1192" s="26" t="s">
        <v>1260</v>
      </c>
    </row>
    <row r="1193" spans="1:3" x14ac:dyDescent="0.25">
      <c r="A1193" s="36">
        <v>41414</v>
      </c>
      <c r="B1193" s="121">
        <v>0.87731481481481488</v>
      </c>
      <c r="C1193" s="26" t="s">
        <v>1278</v>
      </c>
    </row>
    <row r="1194" spans="1:3" x14ac:dyDescent="0.25">
      <c r="A1194" s="36">
        <v>41414</v>
      </c>
      <c r="B1194" s="121">
        <v>0.87731481481481488</v>
      </c>
      <c r="C1194" s="26" t="s">
        <v>1277</v>
      </c>
    </row>
    <row r="1195" spans="1:3" x14ac:dyDescent="0.25">
      <c r="A1195" s="36">
        <v>41414</v>
      </c>
      <c r="B1195" s="121">
        <v>0.87731481481481488</v>
      </c>
      <c r="C1195" s="26" t="s">
        <v>1277</v>
      </c>
    </row>
    <row r="1196" spans="1:3" x14ac:dyDescent="0.25">
      <c r="A1196" s="36">
        <v>41414</v>
      </c>
      <c r="B1196" s="121">
        <v>0.87731481481481488</v>
      </c>
      <c r="C1196" s="26" t="s">
        <v>1277</v>
      </c>
    </row>
    <row r="1197" spans="1:3" x14ac:dyDescent="0.25">
      <c r="A1197" s="36">
        <v>41414</v>
      </c>
      <c r="B1197" s="121">
        <v>0.87731481481481488</v>
      </c>
      <c r="C1197" s="26" t="s">
        <v>1284</v>
      </c>
    </row>
    <row r="1198" spans="1:3" x14ac:dyDescent="0.25">
      <c r="A1198" s="36">
        <v>41414</v>
      </c>
      <c r="B1198" s="121">
        <v>0.87731481481481488</v>
      </c>
      <c r="C1198" s="26" t="s">
        <v>1280</v>
      </c>
    </row>
    <row r="1199" spans="1:3" x14ac:dyDescent="0.25">
      <c r="A1199" s="36">
        <v>41414</v>
      </c>
      <c r="B1199" s="121">
        <v>0.87731481481481488</v>
      </c>
      <c r="C1199" s="26" t="s">
        <v>1282</v>
      </c>
    </row>
    <row r="1200" spans="1:3" x14ac:dyDescent="0.25">
      <c r="A1200" s="36">
        <v>41414</v>
      </c>
      <c r="B1200" s="121">
        <v>0.87731481481481488</v>
      </c>
      <c r="C1200" s="26" t="s">
        <v>1284</v>
      </c>
    </row>
    <row r="1201" spans="1:3" x14ac:dyDescent="0.25">
      <c r="A1201" s="36">
        <v>41414</v>
      </c>
      <c r="B1201" s="121">
        <v>0.87731481481481488</v>
      </c>
      <c r="C1201" s="26" t="s">
        <v>1283</v>
      </c>
    </row>
    <row r="1202" spans="1:3" x14ac:dyDescent="0.25">
      <c r="A1202" s="36">
        <v>41414</v>
      </c>
      <c r="B1202" s="121">
        <v>0.87731481481481488</v>
      </c>
      <c r="C1202" s="26" t="s">
        <v>1281</v>
      </c>
    </row>
    <row r="1203" spans="1:3" x14ac:dyDescent="0.25">
      <c r="A1203" s="36">
        <v>41414</v>
      </c>
      <c r="B1203" s="121">
        <v>0.87731481481481488</v>
      </c>
      <c r="C1203" s="26" t="s">
        <v>1285</v>
      </c>
    </row>
    <row r="1204" spans="1:3" x14ac:dyDescent="0.25">
      <c r="A1204" s="36">
        <v>41414</v>
      </c>
      <c r="B1204" s="121">
        <v>0.87731481481481488</v>
      </c>
      <c r="C1204" s="26" t="s">
        <v>1286</v>
      </c>
    </row>
    <row r="1205" spans="1:3" x14ac:dyDescent="0.25">
      <c r="A1205" s="36">
        <v>41414</v>
      </c>
      <c r="B1205" s="121">
        <v>0.87731481481481488</v>
      </c>
      <c r="C1205" s="26" t="s">
        <v>1287</v>
      </c>
    </row>
    <row r="1206" spans="1:3" x14ac:dyDescent="0.25">
      <c r="A1206" s="36">
        <v>41414</v>
      </c>
      <c r="B1206" s="121">
        <v>0.87731481481481488</v>
      </c>
      <c r="C1206" s="26" t="s">
        <v>1288</v>
      </c>
    </row>
    <row r="1207" spans="1:3" x14ac:dyDescent="0.25">
      <c r="A1207" s="36">
        <v>41414</v>
      </c>
      <c r="B1207" s="121">
        <v>0.87731481481481488</v>
      </c>
      <c r="C1207" s="26" t="s">
        <v>1291</v>
      </c>
    </row>
    <row r="1208" spans="1:3" x14ac:dyDescent="0.25">
      <c r="A1208" s="36">
        <v>41414</v>
      </c>
      <c r="B1208" s="121">
        <v>0.87732638888888881</v>
      </c>
      <c r="C1208" s="26" t="s">
        <v>1263</v>
      </c>
    </row>
    <row r="1209" spans="1:3" x14ac:dyDescent="0.25">
      <c r="A1209" s="36">
        <v>41414</v>
      </c>
      <c r="B1209" s="121">
        <v>0.87732638888888881</v>
      </c>
      <c r="C1209" s="26" t="s">
        <v>1289</v>
      </c>
    </row>
    <row r="1210" spans="1:3" x14ac:dyDescent="0.25">
      <c r="A1210" s="36">
        <v>41414</v>
      </c>
      <c r="B1210" s="121">
        <v>0.87732638888888881</v>
      </c>
      <c r="C1210" s="26" t="s">
        <v>1290</v>
      </c>
    </row>
    <row r="1211" spans="1:3" x14ac:dyDescent="0.25">
      <c r="A1211" s="36">
        <v>41414</v>
      </c>
      <c r="B1211" s="121">
        <v>0.87732638888888881</v>
      </c>
      <c r="C1211" s="26" t="s">
        <v>1293</v>
      </c>
    </row>
    <row r="1212" spans="1:3" x14ac:dyDescent="0.25">
      <c r="A1212" s="36">
        <v>41414</v>
      </c>
      <c r="B1212" s="121">
        <v>0.87732638888888881</v>
      </c>
      <c r="C1212" s="26" t="s">
        <v>1294</v>
      </c>
    </row>
    <row r="1213" spans="1:3" x14ac:dyDescent="0.25">
      <c r="A1213" s="36">
        <v>41414</v>
      </c>
      <c r="B1213" s="121">
        <v>0.87732638888888881</v>
      </c>
      <c r="C1213" s="26" t="s">
        <v>1295</v>
      </c>
    </row>
    <row r="1214" spans="1:3" x14ac:dyDescent="0.25">
      <c r="A1214" s="36">
        <v>41414</v>
      </c>
      <c r="B1214" s="121">
        <v>0.87732638888888881</v>
      </c>
      <c r="C1214" s="26" t="s">
        <v>1299</v>
      </c>
    </row>
    <row r="1215" spans="1:3" x14ac:dyDescent="0.25">
      <c r="A1215" s="36">
        <v>41414</v>
      </c>
      <c r="B1215" s="121">
        <v>0.87732638888888881</v>
      </c>
      <c r="C1215" s="26" t="s">
        <v>1267</v>
      </c>
    </row>
    <row r="1216" spans="1:3" x14ac:dyDescent="0.25">
      <c r="A1216" s="36">
        <v>41414</v>
      </c>
      <c r="B1216" s="121">
        <v>0.87732638888888881</v>
      </c>
      <c r="C1216" s="26" t="s">
        <v>1301</v>
      </c>
    </row>
    <row r="1217" spans="1:3" x14ac:dyDescent="0.25">
      <c r="A1217" s="36">
        <v>41414</v>
      </c>
      <c r="B1217" s="121">
        <v>0.87732638888888881</v>
      </c>
      <c r="C1217" s="26" t="s">
        <v>1302</v>
      </c>
    </row>
    <row r="1218" spans="1:3" x14ac:dyDescent="0.25">
      <c r="A1218" s="36">
        <v>41414</v>
      </c>
      <c r="B1218" s="121">
        <v>0.87732638888888881</v>
      </c>
      <c r="C1218" s="26" t="s">
        <v>1303</v>
      </c>
    </row>
    <row r="1219" spans="1:3" x14ac:dyDescent="0.25">
      <c r="A1219" s="36">
        <v>41414</v>
      </c>
      <c r="B1219" s="121">
        <v>0.87732638888888881</v>
      </c>
      <c r="C1219" s="26" t="s">
        <v>1304</v>
      </c>
    </row>
    <row r="1220" spans="1:3" x14ac:dyDescent="0.25">
      <c r="A1220" s="36">
        <v>41414</v>
      </c>
      <c r="B1220" s="121">
        <v>0.87732638888888881</v>
      </c>
      <c r="C1220" s="26" t="s">
        <v>1252</v>
      </c>
    </row>
    <row r="1221" spans="1:3" x14ac:dyDescent="0.25">
      <c r="A1221" s="36">
        <v>41414</v>
      </c>
      <c r="B1221" s="121">
        <v>0.87732638888888881</v>
      </c>
      <c r="C1221" s="26" t="s">
        <v>1305</v>
      </c>
    </row>
    <row r="1222" spans="1:3" x14ac:dyDescent="0.25">
      <c r="A1222" s="36">
        <v>41414</v>
      </c>
      <c r="B1222" s="121">
        <v>0.87732638888888881</v>
      </c>
      <c r="C1222" s="26" t="s">
        <v>1306</v>
      </c>
    </row>
    <row r="1223" spans="1:3" x14ac:dyDescent="0.25">
      <c r="A1223" s="36">
        <v>41414</v>
      </c>
      <c r="B1223" s="121">
        <v>0.87732638888888881</v>
      </c>
      <c r="C1223" s="26" t="s">
        <v>1290</v>
      </c>
    </row>
    <row r="1224" spans="1:3" x14ac:dyDescent="0.25">
      <c r="A1224" s="36">
        <v>41414</v>
      </c>
      <c r="B1224" s="121">
        <v>0.87732638888888881</v>
      </c>
      <c r="C1224" s="26" t="s">
        <v>1308</v>
      </c>
    </row>
    <row r="1225" spans="1:3" x14ac:dyDescent="0.25">
      <c r="A1225" s="36">
        <v>41414</v>
      </c>
      <c r="B1225" s="121">
        <v>0.87732638888888881</v>
      </c>
      <c r="C1225" s="26" t="s">
        <v>1308</v>
      </c>
    </row>
    <row r="1226" spans="1:3" x14ac:dyDescent="0.25">
      <c r="A1226" s="36">
        <v>41414</v>
      </c>
      <c r="B1226" s="121">
        <v>0.87732638888888881</v>
      </c>
      <c r="C1226" s="26" t="s">
        <v>1309</v>
      </c>
    </row>
    <row r="1227" spans="1:3" x14ac:dyDescent="0.25">
      <c r="A1227" s="36">
        <v>41414</v>
      </c>
      <c r="B1227" s="121">
        <v>0.87732638888888881</v>
      </c>
      <c r="C1227" s="26" t="s">
        <v>1303</v>
      </c>
    </row>
    <row r="1228" spans="1:3" x14ac:dyDescent="0.25">
      <c r="A1228" s="36">
        <v>41414</v>
      </c>
      <c r="B1228" s="121">
        <v>0.87732638888888881</v>
      </c>
      <c r="C1228" s="26" t="s">
        <v>1310</v>
      </c>
    </row>
    <row r="1229" spans="1:3" x14ac:dyDescent="0.25">
      <c r="A1229" s="36">
        <v>41414</v>
      </c>
      <c r="B1229" s="121">
        <v>0.87732638888888881</v>
      </c>
      <c r="C1229" s="26" t="s">
        <v>1311</v>
      </c>
    </row>
    <row r="1230" spans="1:3" x14ac:dyDescent="0.25">
      <c r="A1230" s="36">
        <v>41414</v>
      </c>
      <c r="B1230" s="121">
        <v>0.87732638888888881</v>
      </c>
      <c r="C1230" s="26" t="s">
        <v>1312</v>
      </c>
    </row>
    <row r="1231" spans="1:3" x14ac:dyDescent="0.25">
      <c r="A1231" s="36">
        <v>41414</v>
      </c>
      <c r="B1231" s="121">
        <v>0.87732638888888881</v>
      </c>
      <c r="C1231" s="26" t="s">
        <v>1273</v>
      </c>
    </row>
    <row r="1232" spans="1:3" x14ac:dyDescent="0.25">
      <c r="A1232" s="36">
        <v>41414</v>
      </c>
      <c r="B1232" s="121">
        <v>0.87732638888888881</v>
      </c>
      <c r="C1232" s="26" t="s">
        <v>1313</v>
      </c>
    </row>
    <row r="1233" spans="1:3" x14ac:dyDescent="0.25">
      <c r="A1233" s="36">
        <v>41414</v>
      </c>
      <c r="B1233" s="121">
        <v>0.87732638888888881</v>
      </c>
      <c r="C1233" s="26" t="s">
        <v>1314</v>
      </c>
    </row>
    <row r="1234" spans="1:3" x14ac:dyDescent="0.25">
      <c r="A1234" s="36">
        <v>41414</v>
      </c>
      <c r="B1234" s="121">
        <v>0.87732638888888881</v>
      </c>
      <c r="C1234" s="26" t="s">
        <v>1315</v>
      </c>
    </row>
    <row r="1235" spans="1:3" x14ac:dyDescent="0.25">
      <c r="A1235" s="36">
        <v>41414</v>
      </c>
      <c r="B1235" s="121">
        <v>0.87732638888888881</v>
      </c>
      <c r="C1235" s="26" t="s">
        <v>1316</v>
      </c>
    </row>
    <row r="1236" spans="1:3" x14ac:dyDescent="0.25">
      <c r="A1236" s="36">
        <v>41414</v>
      </c>
      <c r="B1236" s="121">
        <v>0.87732638888888881</v>
      </c>
      <c r="C1236" s="26" t="s">
        <v>1310</v>
      </c>
    </row>
    <row r="1237" spans="1:3" x14ac:dyDescent="0.25">
      <c r="A1237" s="36">
        <v>41414</v>
      </c>
      <c r="B1237" s="121">
        <v>0.87732638888888881</v>
      </c>
      <c r="C1237" s="26" t="s">
        <v>1254</v>
      </c>
    </row>
    <row r="1238" spans="1:3" x14ac:dyDescent="0.25">
      <c r="A1238" s="36">
        <v>41414</v>
      </c>
      <c r="B1238" s="121">
        <v>0.87732638888888881</v>
      </c>
      <c r="C1238" s="26" t="s">
        <v>1254</v>
      </c>
    </row>
    <row r="1239" spans="1:3" x14ac:dyDescent="0.25">
      <c r="A1239" s="36">
        <v>41414</v>
      </c>
      <c r="B1239" s="121">
        <v>0.87732638888888881</v>
      </c>
      <c r="C1239" s="26" t="s">
        <v>1317</v>
      </c>
    </row>
    <row r="1240" spans="1:3" x14ac:dyDescent="0.25">
      <c r="A1240" s="36">
        <v>41414</v>
      </c>
      <c r="B1240" s="121">
        <v>0.87732638888888881</v>
      </c>
      <c r="C1240" s="26" t="s">
        <v>1254</v>
      </c>
    </row>
    <row r="1241" spans="1:3" x14ac:dyDescent="0.25">
      <c r="A1241" s="36">
        <v>41414</v>
      </c>
      <c r="B1241" s="121">
        <v>0.87732638888888881</v>
      </c>
      <c r="C1241" s="26" t="s">
        <v>1318</v>
      </c>
    </row>
    <row r="1242" spans="1:3" x14ac:dyDescent="0.25">
      <c r="A1242" s="36">
        <v>41414</v>
      </c>
      <c r="B1242" s="121">
        <v>0.87732638888888881</v>
      </c>
      <c r="C1242" s="26" t="s">
        <v>1319</v>
      </c>
    </row>
    <row r="1243" spans="1:3" x14ac:dyDescent="0.25">
      <c r="A1243" s="36">
        <v>41414</v>
      </c>
      <c r="B1243" s="121">
        <v>0.87732638888888881</v>
      </c>
      <c r="C1243" s="26" t="s">
        <v>1265</v>
      </c>
    </row>
    <row r="1244" spans="1:3" x14ac:dyDescent="0.25">
      <c r="A1244" s="36">
        <v>41414</v>
      </c>
      <c r="B1244" s="121">
        <v>0.87732638888888881</v>
      </c>
      <c r="C1244" s="26" t="s">
        <v>1322</v>
      </c>
    </row>
    <row r="1245" spans="1:3" x14ac:dyDescent="0.25">
      <c r="A1245" s="36">
        <v>41414</v>
      </c>
      <c r="B1245" s="121">
        <v>0.87732638888888881</v>
      </c>
      <c r="C1245" s="26" t="s">
        <v>1323</v>
      </c>
    </row>
    <row r="1246" spans="1:3" x14ac:dyDescent="0.25">
      <c r="A1246" s="36">
        <v>41414</v>
      </c>
      <c r="B1246" s="121">
        <v>0.87732638888888881</v>
      </c>
      <c r="C1246" s="26" t="s">
        <v>1324</v>
      </c>
    </row>
    <row r="1247" spans="1:3" x14ac:dyDescent="0.25">
      <c r="A1247" s="36">
        <v>41414</v>
      </c>
      <c r="B1247" s="121">
        <v>0.87732638888888881</v>
      </c>
      <c r="C1247" s="26" t="s">
        <v>1267</v>
      </c>
    </row>
    <row r="1248" spans="1:3" x14ac:dyDescent="0.25">
      <c r="A1248" s="36">
        <v>41414</v>
      </c>
      <c r="B1248" s="121">
        <v>0.87732638888888881</v>
      </c>
      <c r="C1248" s="26" t="s">
        <v>1325</v>
      </c>
    </row>
    <row r="1249" spans="1:3" x14ac:dyDescent="0.25">
      <c r="A1249" s="36">
        <v>41414</v>
      </c>
      <c r="B1249" s="121">
        <v>0.87732638888888881</v>
      </c>
      <c r="C1249" s="26" t="s">
        <v>1326</v>
      </c>
    </row>
    <row r="1250" spans="1:3" x14ac:dyDescent="0.25">
      <c r="A1250" s="36">
        <v>41414</v>
      </c>
      <c r="B1250" s="121">
        <v>0.87732638888888881</v>
      </c>
      <c r="C1250" s="26" t="s">
        <v>1327</v>
      </c>
    </row>
    <row r="1251" spans="1:3" x14ac:dyDescent="0.25">
      <c r="A1251" s="36">
        <v>41414</v>
      </c>
      <c r="B1251" s="121">
        <v>0.87732638888888881</v>
      </c>
      <c r="C1251" s="26" t="s">
        <v>1328</v>
      </c>
    </row>
    <row r="1252" spans="1:3" x14ac:dyDescent="0.25">
      <c r="A1252" s="36">
        <v>41414</v>
      </c>
      <c r="B1252" s="121">
        <v>0.87732638888888881</v>
      </c>
      <c r="C1252" s="26" t="s">
        <v>1329</v>
      </c>
    </row>
    <row r="1253" spans="1:3" x14ac:dyDescent="0.25">
      <c r="A1253" s="36">
        <v>41414</v>
      </c>
      <c r="B1253" s="121">
        <v>0.87732638888888881</v>
      </c>
      <c r="C1253" s="26" t="s">
        <v>1329</v>
      </c>
    </row>
    <row r="1254" spans="1:3" x14ac:dyDescent="0.25">
      <c r="A1254" s="36">
        <v>41414</v>
      </c>
      <c r="B1254" s="121">
        <v>0.87732638888888881</v>
      </c>
      <c r="C1254" s="26" t="s">
        <v>1330</v>
      </c>
    </row>
    <row r="1255" spans="1:3" x14ac:dyDescent="0.25">
      <c r="A1255" s="36">
        <v>41414</v>
      </c>
      <c r="B1255" s="121">
        <v>0.87732638888888881</v>
      </c>
      <c r="C1255" s="26" t="s">
        <v>1262</v>
      </c>
    </row>
    <row r="1256" spans="1:3" x14ac:dyDescent="0.25">
      <c r="A1256" s="36">
        <v>41414</v>
      </c>
      <c r="B1256" s="121">
        <v>0.87732638888888881</v>
      </c>
      <c r="C1256" s="26" t="s">
        <v>1331</v>
      </c>
    </row>
    <row r="1257" spans="1:3" x14ac:dyDescent="0.25">
      <c r="A1257" s="36">
        <v>41414</v>
      </c>
      <c r="B1257" s="121">
        <v>0.87732638888888881</v>
      </c>
      <c r="C1257" s="26" t="s">
        <v>1332</v>
      </c>
    </row>
    <row r="1258" spans="1:3" x14ac:dyDescent="0.25">
      <c r="A1258" s="36">
        <v>41414</v>
      </c>
      <c r="B1258" s="121">
        <v>0.87732638888888881</v>
      </c>
      <c r="C1258" s="26" t="s">
        <v>1332</v>
      </c>
    </row>
    <row r="1259" spans="1:3" x14ac:dyDescent="0.25">
      <c r="A1259" s="36">
        <v>41414</v>
      </c>
      <c r="B1259" s="121">
        <v>0.87732638888888881</v>
      </c>
      <c r="C1259" s="26" t="s">
        <v>1333</v>
      </c>
    </row>
    <row r="1260" spans="1:3" x14ac:dyDescent="0.25">
      <c r="A1260" s="36">
        <v>41414</v>
      </c>
      <c r="B1260" s="121">
        <v>0.87732638888888881</v>
      </c>
      <c r="C1260" s="26" t="s">
        <v>1335</v>
      </c>
    </row>
    <row r="1261" spans="1:3" x14ac:dyDescent="0.25">
      <c r="A1261" s="36">
        <v>41414</v>
      </c>
      <c r="B1261" s="121">
        <v>0.87732638888888881</v>
      </c>
      <c r="C1261" s="26" t="s">
        <v>1334</v>
      </c>
    </row>
    <row r="1262" spans="1:3" x14ac:dyDescent="0.25">
      <c r="A1262" s="36">
        <v>41414</v>
      </c>
      <c r="B1262" s="121">
        <v>0.87732638888888881</v>
      </c>
      <c r="C1262" s="26" t="s">
        <v>1336</v>
      </c>
    </row>
    <row r="1263" spans="1:3" x14ac:dyDescent="0.25">
      <c r="A1263" s="36">
        <v>41414</v>
      </c>
      <c r="B1263" s="121">
        <v>0.87732638888888881</v>
      </c>
      <c r="C1263" s="26" t="s">
        <v>1338</v>
      </c>
    </row>
    <row r="1264" spans="1:3" x14ac:dyDescent="0.25">
      <c r="A1264" s="36">
        <v>41414</v>
      </c>
      <c r="B1264" s="121">
        <v>0.87732638888888881</v>
      </c>
      <c r="C1264" s="26" t="s">
        <v>1339</v>
      </c>
    </row>
    <row r="1265" spans="1:3" x14ac:dyDescent="0.25">
      <c r="A1265" s="36">
        <v>41414</v>
      </c>
      <c r="B1265" s="121">
        <v>0.87732638888888881</v>
      </c>
      <c r="C1265" s="26" t="s">
        <v>1340</v>
      </c>
    </row>
    <row r="1266" spans="1:3" x14ac:dyDescent="0.25">
      <c r="A1266" s="36">
        <v>41414</v>
      </c>
      <c r="B1266" s="121">
        <v>0.87732638888888881</v>
      </c>
      <c r="C1266" s="26" t="s">
        <v>1340</v>
      </c>
    </row>
    <row r="1267" spans="1:3" x14ac:dyDescent="0.25">
      <c r="A1267" s="36">
        <v>41414</v>
      </c>
      <c r="B1267" s="121">
        <v>0.87732638888888881</v>
      </c>
      <c r="C1267" s="26" t="s">
        <v>1265</v>
      </c>
    </row>
    <row r="1268" spans="1:3" x14ac:dyDescent="0.25">
      <c r="A1268" s="36">
        <v>41414</v>
      </c>
      <c r="B1268" s="121">
        <v>0.87732638888888881</v>
      </c>
      <c r="C1268" s="26" t="s">
        <v>1338</v>
      </c>
    </row>
    <row r="1269" spans="1:3" x14ac:dyDescent="0.25">
      <c r="A1269" s="36">
        <v>41414</v>
      </c>
      <c r="B1269" s="121">
        <v>0.87732638888888881</v>
      </c>
      <c r="C1269" s="26" t="s">
        <v>1252</v>
      </c>
    </row>
    <row r="1270" spans="1:3" x14ac:dyDescent="0.25">
      <c r="A1270" s="36">
        <v>41414</v>
      </c>
      <c r="B1270" s="121">
        <v>0.87732638888888881</v>
      </c>
      <c r="C1270" s="26" t="s">
        <v>1341</v>
      </c>
    </row>
    <row r="1271" spans="1:3" x14ac:dyDescent="0.25">
      <c r="A1271" s="36">
        <v>41414</v>
      </c>
      <c r="B1271" s="121">
        <v>0.87732638888888881</v>
      </c>
      <c r="C1271" s="26" t="s">
        <v>1342</v>
      </c>
    </row>
    <row r="1272" spans="1:3" x14ac:dyDescent="0.25">
      <c r="A1272" s="36">
        <v>41414</v>
      </c>
      <c r="B1272" s="121">
        <v>0.87732638888888881</v>
      </c>
      <c r="C1272" s="26" t="s">
        <v>1343</v>
      </c>
    </row>
    <row r="1273" spans="1:3" x14ac:dyDescent="0.25">
      <c r="A1273" s="36">
        <v>41414</v>
      </c>
      <c r="B1273" s="121">
        <v>0.87732638888888881</v>
      </c>
      <c r="C1273" s="26" t="s">
        <v>1345</v>
      </c>
    </row>
    <row r="1274" spans="1:3" x14ac:dyDescent="0.25">
      <c r="A1274" s="36">
        <v>41414</v>
      </c>
      <c r="B1274" s="121">
        <v>0.87732638888888881</v>
      </c>
      <c r="C1274" s="26" t="s">
        <v>1332</v>
      </c>
    </row>
    <row r="1275" spans="1:3" x14ac:dyDescent="0.25">
      <c r="A1275" s="36">
        <v>41414</v>
      </c>
      <c r="B1275" s="121">
        <v>0.87732638888888881</v>
      </c>
      <c r="C1275" s="26" t="s">
        <v>1344</v>
      </c>
    </row>
    <row r="1276" spans="1:3" x14ac:dyDescent="0.25">
      <c r="A1276" s="36">
        <v>41414</v>
      </c>
      <c r="B1276" s="121">
        <v>0.87732638888888881</v>
      </c>
      <c r="C1276" s="26" t="s">
        <v>1315</v>
      </c>
    </row>
    <row r="1277" spans="1:3" x14ac:dyDescent="0.25">
      <c r="A1277" s="36">
        <v>41414</v>
      </c>
      <c r="B1277" s="121">
        <v>0.87732638888888881</v>
      </c>
      <c r="C1277" s="26" t="s">
        <v>1346</v>
      </c>
    </row>
    <row r="1278" spans="1:3" x14ac:dyDescent="0.25">
      <c r="A1278" s="36">
        <v>41414</v>
      </c>
      <c r="B1278" s="121">
        <v>0.87732638888888881</v>
      </c>
      <c r="C1278" s="26" t="s">
        <v>1348</v>
      </c>
    </row>
    <row r="1279" spans="1:3" x14ac:dyDescent="0.25">
      <c r="A1279" s="36">
        <v>41414</v>
      </c>
      <c r="B1279" s="121">
        <v>0.87732638888888881</v>
      </c>
      <c r="C1279" s="26" t="s">
        <v>1314</v>
      </c>
    </row>
    <row r="1280" spans="1:3" x14ac:dyDescent="0.25">
      <c r="A1280" s="36">
        <v>41414</v>
      </c>
      <c r="B1280" s="121">
        <v>0.87732638888888881</v>
      </c>
      <c r="C1280" s="26" t="s">
        <v>1349</v>
      </c>
    </row>
    <row r="1281" spans="1:3" x14ac:dyDescent="0.25">
      <c r="A1281" s="36">
        <v>41414</v>
      </c>
      <c r="B1281" s="121">
        <v>0.87732638888888881</v>
      </c>
      <c r="C1281" s="26" t="s">
        <v>1351</v>
      </c>
    </row>
    <row r="1282" spans="1:3" x14ac:dyDescent="0.25">
      <c r="A1282" s="36">
        <v>41414</v>
      </c>
      <c r="B1282" s="121">
        <v>0.87732638888888881</v>
      </c>
      <c r="C1282" s="26" t="s">
        <v>1352</v>
      </c>
    </row>
    <row r="1283" spans="1:3" x14ac:dyDescent="0.25">
      <c r="A1283" s="36">
        <v>41414</v>
      </c>
      <c r="B1283" s="121">
        <v>0.87732638888888881</v>
      </c>
      <c r="C1283" s="26" t="s">
        <v>1354</v>
      </c>
    </row>
    <row r="1284" spans="1:3" x14ac:dyDescent="0.25">
      <c r="A1284" s="36">
        <v>41414</v>
      </c>
      <c r="B1284" s="121">
        <v>0.87732638888888881</v>
      </c>
      <c r="C1284" s="26" t="s">
        <v>1341</v>
      </c>
    </row>
    <row r="1285" spans="1:3" x14ac:dyDescent="0.25">
      <c r="A1285" s="36">
        <v>41414</v>
      </c>
      <c r="B1285" s="121">
        <v>0.87732638888888881</v>
      </c>
      <c r="C1285" s="26" t="s">
        <v>1486</v>
      </c>
    </row>
    <row r="1286" spans="1:3" x14ac:dyDescent="0.25">
      <c r="A1286" s="36">
        <v>41414</v>
      </c>
      <c r="B1286" s="121">
        <v>0.87732638888888881</v>
      </c>
      <c r="C1286" s="26" t="s">
        <v>1487</v>
      </c>
    </row>
    <row r="1287" spans="1:3" x14ac:dyDescent="0.25">
      <c r="A1287" s="36">
        <v>41414</v>
      </c>
      <c r="B1287" s="121">
        <v>0.87732638888888881</v>
      </c>
      <c r="C1287" s="26" t="s">
        <v>1259</v>
      </c>
    </row>
    <row r="1288" spans="1:3" x14ac:dyDescent="0.25">
      <c r="A1288" s="36">
        <v>41414</v>
      </c>
      <c r="B1288" s="121">
        <v>0.87732638888888881</v>
      </c>
      <c r="C1288" s="26" t="s">
        <v>1488</v>
      </c>
    </row>
    <row r="1289" spans="1:3" x14ac:dyDescent="0.25">
      <c r="A1289" s="36">
        <v>41414</v>
      </c>
      <c r="B1289" s="121">
        <v>0.87733796296296296</v>
      </c>
      <c r="C1289" s="26" t="s">
        <v>1501</v>
      </c>
    </row>
    <row r="1290" spans="1:3" x14ac:dyDescent="0.25">
      <c r="A1290" s="36">
        <v>41414</v>
      </c>
      <c r="B1290" s="121">
        <v>0.87927083333333333</v>
      </c>
      <c r="C1290" s="26" t="s">
        <v>1502</v>
      </c>
    </row>
    <row r="1291" spans="1:3" ht="30" x14ac:dyDescent="0.25">
      <c r="A1291" s="36">
        <v>41414</v>
      </c>
      <c r="B1291" s="121">
        <v>0.87974537037037026</v>
      </c>
      <c r="C1291" s="831" t="s">
        <v>1503</v>
      </c>
    </row>
    <row r="1292" spans="1:3" ht="45" x14ac:dyDescent="0.25">
      <c r="A1292" s="36">
        <v>41414</v>
      </c>
      <c r="B1292" s="121">
        <v>0.88133101851851858</v>
      </c>
      <c r="C1292" s="831" t="s">
        <v>1504</v>
      </c>
    </row>
    <row r="1293" spans="1:3" x14ac:dyDescent="0.25">
      <c r="A1293" s="36">
        <v>41415</v>
      </c>
      <c r="B1293" s="121">
        <v>0.47233796296296293</v>
      </c>
      <c r="C1293" s="26" t="s">
        <v>1505</v>
      </c>
    </row>
    <row r="1294" spans="1:3" ht="30" x14ac:dyDescent="0.25">
      <c r="A1294" s="36">
        <v>41415</v>
      </c>
      <c r="B1294" s="121">
        <v>0.47259259259259262</v>
      </c>
      <c r="C1294" s="831" t="s">
        <v>1506</v>
      </c>
    </row>
    <row r="1295" spans="1:3" ht="45" x14ac:dyDescent="0.25">
      <c r="A1295" s="36">
        <v>41415</v>
      </c>
      <c r="B1295" s="121">
        <v>0.47369212962962964</v>
      </c>
      <c r="C1295" s="831" t="s">
        <v>1507</v>
      </c>
    </row>
    <row r="1296" spans="1:3" x14ac:dyDescent="0.25">
      <c r="A1296" s="36">
        <v>41415</v>
      </c>
      <c r="B1296" s="121">
        <v>0.54493055555555558</v>
      </c>
      <c r="C1296" s="26" t="s">
        <v>1464</v>
      </c>
    </row>
    <row r="1297" spans="1:3" x14ac:dyDescent="0.25">
      <c r="A1297" s="36">
        <v>41415</v>
      </c>
      <c r="B1297" s="121">
        <v>0.83656249999999999</v>
      </c>
      <c r="C1297" s="26" t="s">
        <v>1508</v>
      </c>
    </row>
    <row r="1298" spans="1:3" ht="45" x14ac:dyDescent="0.25">
      <c r="A1298" s="36">
        <v>41415</v>
      </c>
      <c r="B1298" s="121">
        <v>0.83694444444444438</v>
      </c>
      <c r="C1298" s="831" t="s">
        <v>1509</v>
      </c>
    </row>
    <row r="1299" spans="1:3" x14ac:dyDescent="0.25">
      <c r="A1299" s="36">
        <v>41415</v>
      </c>
      <c r="B1299" s="121">
        <v>0.83726851851851858</v>
      </c>
      <c r="C1299" s="26" t="s">
        <v>1510</v>
      </c>
    </row>
    <row r="1300" spans="1:3" ht="45" x14ac:dyDescent="0.25">
      <c r="A1300" s="36">
        <v>41415</v>
      </c>
      <c r="B1300" s="121">
        <v>0.83805555555555555</v>
      </c>
      <c r="C1300" s="831" t="s">
        <v>1511</v>
      </c>
    </row>
    <row r="1301" spans="1:3" ht="30" x14ac:dyDescent="0.25">
      <c r="A1301" s="36">
        <v>41415</v>
      </c>
      <c r="B1301" s="121">
        <v>0.8533912037037038</v>
      </c>
      <c r="C1301" s="831" t="s">
        <v>1512</v>
      </c>
    </row>
    <row r="1302" spans="1:3" ht="30" x14ac:dyDescent="0.25">
      <c r="A1302" s="36">
        <v>41415</v>
      </c>
      <c r="B1302" s="121">
        <v>0.85355324074074079</v>
      </c>
      <c r="C1302" s="831" t="s">
        <v>1513</v>
      </c>
    </row>
    <row r="1303" spans="1:3" x14ac:dyDescent="0.25">
      <c r="A1303" s="36">
        <v>41421</v>
      </c>
      <c r="B1303" s="121">
        <v>0.76672453703703702</v>
      </c>
      <c r="C1303" s="26" t="s">
        <v>1514</v>
      </c>
    </row>
    <row r="1304" spans="1:3" ht="45" x14ac:dyDescent="0.25">
      <c r="A1304" s="36">
        <v>41421</v>
      </c>
      <c r="B1304" s="121">
        <v>0.76710648148148142</v>
      </c>
      <c r="C1304" s="831" t="s">
        <v>1515</v>
      </c>
    </row>
    <row r="1305" spans="1:3" x14ac:dyDescent="0.25">
      <c r="A1305" s="36">
        <v>41421</v>
      </c>
      <c r="B1305" s="121">
        <v>0.77585648148148145</v>
      </c>
      <c r="C1305" s="26" t="s">
        <v>1516</v>
      </c>
    </row>
    <row r="1306" spans="1:3" ht="60" x14ac:dyDescent="0.25">
      <c r="A1306" s="36">
        <v>41421</v>
      </c>
      <c r="B1306" s="121">
        <v>0.77605324074074078</v>
      </c>
      <c r="C1306" s="831" t="s">
        <v>1517</v>
      </c>
    </row>
    <row r="1307" spans="1:3" x14ac:dyDescent="0.25">
      <c r="A1307" s="36">
        <v>41421</v>
      </c>
      <c r="B1307" s="121">
        <v>0.77939814814814812</v>
      </c>
      <c r="C1307" s="26" t="s">
        <v>1518</v>
      </c>
    </row>
    <row r="1308" spans="1:3" x14ac:dyDescent="0.25">
      <c r="A1308" s="36">
        <v>41422</v>
      </c>
      <c r="B1308" s="121">
        <v>0.63984953703703706</v>
      </c>
      <c r="C1308" s="26" t="s">
        <v>1519</v>
      </c>
    </row>
    <row r="1309" spans="1:3" ht="30" x14ac:dyDescent="0.25">
      <c r="A1309" s="36">
        <v>41422</v>
      </c>
      <c r="B1309" s="121">
        <v>0.6401041666666667</v>
      </c>
      <c r="C1309" s="831" t="s">
        <v>1520</v>
      </c>
    </row>
    <row r="1310" spans="1:3" ht="60" x14ac:dyDescent="0.25">
      <c r="A1310" s="36">
        <v>41422</v>
      </c>
      <c r="B1310" s="121">
        <v>0.64011574074074074</v>
      </c>
      <c r="C1310" s="831" t="s">
        <v>1517</v>
      </c>
    </row>
    <row r="1311" spans="1:3" x14ac:dyDescent="0.25">
      <c r="A1311" s="36">
        <v>41422</v>
      </c>
      <c r="B1311" s="121">
        <v>0.67927083333333327</v>
      </c>
      <c r="C1311" s="26" t="s">
        <v>1521</v>
      </c>
    </row>
    <row r="1312" spans="1:3" ht="60" x14ac:dyDescent="0.25">
      <c r="A1312" s="36">
        <v>41422</v>
      </c>
      <c r="B1312" s="121">
        <v>0.67928240740740742</v>
      </c>
      <c r="C1312" s="831" t="s">
        <v>1522</v>
      </c>
    </row>
    <row r="1313" spans="1:3" x14ac:dyDescent="0.25">
      <c r="A1313" s="36">
        <v>41422</v>
      </c>
      <c r="B1313" s="121">
        <v>0.68744212962962958</v>
      </c>
      <c r="C1313" s="26" t="s">
        <v>1523</v>
      </c>
    </row>
    <row r="1314" spans="1:3" x14ac:dyDescent="0.25">
      <c r="A1314" s="36">
        <v>41422</v>
      </c>
      <c r="B1314" s="121">
        <v>0.68903935185185183</v>
      </c>
      <c r="C1314" s="26" t="s">
        <v>1524</v>
      </c>
    </row>
    <row r="1315" spans="1:3" x14ac:dyDescent="0.25">
      <c r="A1315" s="36">
        <v>41422</v>
      </c>
      <c r="B1315" s="121">
        <v>0.68974537037037031</v>
      </c>
      <c r="C1315" s="26" t="s">
        <v>1525</v>
      </c>
    </row>
    <row r="1316" spans="1:3" ht="60" x14ac:dyDescent="0.25">
      <c r="A1316" s="36">
        <v>41422</v>
      </c>
      <c r="B1316" s="121">
        <v>0.68974537037037031</v>
      </c>
      <c r="C1316" s="831" t="s">
        <v>1526</v>
      </c>
    </row>
    <row r="1317" spans="1:3" x14ac:dyDescent="0.25">
      <c r="A1317" s="36">
        <v>41422</v>
      </c>
      <c r="B1317" s="121">
        <v>0.69089120370370372</v>
      </c>
      <c r="C1317" s="26" t="s">
        <v>1527</v>
      </c>
    </row>
    <row r="1318" spans="1:3" ht="30" x14ac:dyDescent="0.25">
      <c r="A1318" s="36">
        <v>41422</v>
      </c>
      <c r="B1318" s="121">
        <v>0.69125000000000003</v>
      </c>
      <c r="C1318" s="831" t="s">
        <v>1528</v>
      </c>
    </row>
    <row r="1319" spans="1:3" ht="60" x14ac:dyDescent="0.25">
      <c r="A1319" s="36">
        <v>41422</v>
      </c>
      <c r="B1319" s="121">
        <v>0.69126157407407407</v>
      </c>
      <c r="C1319" s="831" t="s">
        <v>1522</v>
      </c>
    </row>
    <row r="1320" spans="1:3" x14ac:dyDescent="0.25">
      <c r="A1320" s="36">
        <v>41422</v>
      </c>
      <c r="B1320" s="121">
        <v>0.69204861111111116</v>
      </c>
      <c r="C1320" s="26" t="s">
        <v>1529</v>
      </c>
    </row>
    <row r="1321" spans="1:3" ht="60" x14ac:dyDescent="0.25">
      <c r="A1321" s="36">
        <v>41422</v>
      </c>
      <c r="B1321" s="121">
        <v>0.69204861111111116</v>
      </c>
      <c r="C1321" s="831" t="s">
        <v>1526</v>
      </c>
    </row>
    <row r="1322" spans="1:3" x14ac:dyDescent="0.25">
      <c r="A1322" s="36">
        <v>41422</v>
      </c>
      <c r="B1322" s="121">
        <v>0.69359953703703703</v>
      </c>
      <c r="C1322" s="26" t="s">
        <v>1529</v>
      </c>
    </row>
    <row r="1323" spans="1:3" ht="45" x14ac:dyDescent="0.25">
      <c r="A1323" s="36">
        <v>41422</v>
      </c>
      <c r="B1323" s="121">
        <v>0.69480324074074085</v>
      </c>
      <c r="C1323" s="831" t="s">
        <v>1530</v>
      </c>
    </row>
    <row r="1324" spans="1:3" ht="60" x14ac:dyDescent="0.25">
      <c r="A1324" s="36">
        <v>41422</v>
      </c>
      <c r="B1324" s="121">
        <v>0.69498842592592591</v>
      </c>
      <c r="C1324" s="831" t="s">
        <v>1531</v>
      </c>
    </row>
    <row r="1325" spans="1:3" ht="30" x14ac:dyDescent="0.25">
      <c r="A1325" s="36">
        <v>41423</v>
      </c>
      <c r="B1325" s="121">
        <v>0.7971759259259259</v>
      </c>
      <c r="C1325" s="831" t="s">
        <v>1532</v>
      </c>
    </row>
    <row r="1326" spans="1:3" ht="60" x14ac:dyDescent="0.25">
      <c r="A1326" s="36">
        <v>41423</v>
      </c>
      <c r="B1326" s="121">
        <v>0.79729166666666673</v>
      </c>
      <c r="C1326" s="831" t="s">
        <v>1175</v>
      </c>
    </row>
    <row r="1327" spans="1:3" ht="60" x14ac:dyDescent="0.25">
      <c r="A1327" s="36">
        <v>41423</v>
      </c>
      <c r="B1327" s="121">
        <v>0.79910879629629628</v>
      </c>
      <c r="C1327" s="831" t="s">
        <v>1531</v>
      </c>
    </row>
    <row r="1328" spans="1:3" x14ac:dyDescent="0.25">
      <c r="A1328" s="36">
        <v>41425</v>
      </c>
      <c r="B1328" s="121">
        <v>0.72471064814814812</v>
      </c>
      <c r="C1328" s="26" t="s">
        <v>1533</v>
      </c>
    </row>
    <row r="1329" spans="1:3" x14ac:dyDescent="0.25">
      <c r="A1329" s="36">
        <v>41425</v>
      </c>
      <c r="B1329" s="121">
        <v>0.72583333333333344</v>
      </c>
      <c r="C1329" s="26" t="s">
        <v>1521</v>
      </c>
    </row>
    <row r="1330" spans="1:3" ht="30" x14ac:dyDescent="0.25">
      <c r="A1330" s="36">
        <v>41425</v>
      </c>
      <c r="B1330" s="121">
        <v>0.72590277777777779</v>
      </c>
      <c r="C1330" s="831" t="s">
        <v>1534</v>
      </c>
    </row>
    <row r="1331" spans="1:3" ht="45" x14ac:dyDescent="0.25">
      <c r="A1331" s="36">
        <v>41425</v>
      </c>
      <c r="B1331" s="121">
        <v>0.72598379629629628</v>
      </c>
      <c r="C1331" s="831" t="s">
        <v>1535</v>
      </c>
    </row>
    <row r="1332" spans="1:3" x14ac:dyDescent="0.25">
      <c r="A1332" s="36">
        <v>41425</v>
      </c>
      <c r="B1332" s="121">
        <v>0.72664351851851849</v>
      </c>
      <c r="C1332" s="26" t="s">
        <v>1523</v>
      </c>
    </row>
    <row r="1333" spans="1:3" ht="45" x14ac:dyDescent="0.25">
      <c r="A1333" s="36">
        <v>41425</v>
      </c>
      <c r="B1333" s="121">
        <v>0.72712962962962957</v>
      </c>
      <c r="C1333" s="831" t="s">
        <v>1536</v>
      </c>
    </row>
    <row r="1334" spans="1:3" x14ac:dyDescent="0.25">
      <c r="A1334" s="36">
        <v>41425</v>
      </c>
      <c r="B1334" s="121">
        <v>0.74745370370370379</v>
      </c>
      <c r="C1334" s="26" t="s">
        <v>1537</v>
      </c>
    </row>
    <row r="1335" spans="1:3" ht="45" x14ac:dyDescent="0.25">
      <c r="A1335" s="36">
        <v>41425</v>
      </c>
      <c r="B1335" s="121">
        <v>0.74783564814814818</v>
      </c>
      <c r="C1335" s="831" t="s">
        <v>1538</v>
      </c>
    </row>
    <row r="1336" spans="1:3" ht="45" x14ac:dyDescent="0.25">
      <c r="A1336" s="36">
        <v>41425</v>
      </c>
      <c r="B1336" s="121">
        <v>0.74922453703703706</v>
      </c>
      <c r="C1336" s="831" t="s">
        <v>1539</v>
      </c>
    </row>
    <row r="1337" spans="1:3" x14ac:dyDescent="0.25">
      <c r="A1337" s="36">
        <v>41425</v>
      </c>
      <c r="B1337" s="121">
        <v>0.75017361111111114</v>
      </c>
      <c r="C1337" s="26" t="s">
        <v>1540</v>
      </c>
    </row>
    <row r="1338" spans="1:3" ht="45" x14ac:dyDescent="0.25">
      <c r="A1338" s="36">
        <v>41425</v>
      </c>
      <c r="B1338" s="121">
        <v>0.75055555555555553</v>
      </c>
      <c r="C1338" s="831" t="s">
        <v>1541</v>
      </c>
    </row>
    <row r="1339" spans="1:3" x14ac:dyDescent="0.25">
      <c r="A1339" s="36">
        <v>41425</v>
      </c>
      <c r="B1339" s="121">
        <v>0.7518287037037038</v>
      </c>
      <c r="C1339" s="26" t="s">
        <v>1542</v>
      </c>
    </row>
    <row r="1340" spans="1:3" ht="45" x14ac:dyDescent="0.25">
      <c r="A1340" s="36">
        <v>41425</v>
      </c>
      <c r="B1340" s="121">
        <v>0.75292824074074083</v>
      </c>
      <c r="C1340" s="831" t="s">
        <v>1543</v>
      </c>
    </row>
    <row r="1341" spans="1:3" x14ac:dyDescent="0.25">
      <c r="A1341" s="36">
        <v>41425</v>
      </c>
      <c r="B1341" s="121">
        <v>0.75503472222222223</v>
      </c>
      <c r="C1341" s="26" t="s">
        <v>1544</v>
      </c>
    </row>
    <row r="1342" spans="1:3" ht="30" x14ac:dyDescent="0.25">
      <c r="A1342" s="36">
        <v>41425</v>
      </c>
      <c r="B1342" s="121">
        <v>0.75574074074074071</v>
      </c>
      <c r="C1342" s="831" t="s">
        <v>1545</v>
      </c>
    </row>
    <row r="1343" spans="1:3" x14ac:dyDescent="0.25">
      <c r="A1343" s="36">
        <v>41425</v>
      </c>
      <c r="B1343" s="121">
        <v>0.75753472222222218</v>
      </c>
      <c r="C1343" s="26" t="s">
        <v>1213</v>
      </c>
    </row>
    <row r="1344" spans="1:3" x14ac:dyDescent="0.25">
      <c r="A1344" s="36">
        <v>41425</v>
      </c>
      <c r="B1344" s="121">
        <v>0.75753472222222218</v>
      </c>
      <c r="C1344" s="26" t="s">
        <v>1214</v>
      </c>
    </row>
    <row r="1345" spans="1:3" x14ac:dyDescent="0.25">
      <c r="A1345" s="36">
        <v>41425</v>
      </c>
      <c r="B1345" s="121">
        <v>0.75753472222222218</v>
      </c>
      <c r="C1345" s="26" t="s">
        <v>1214</v>
      </c>
    </row>
    <row r="1346" spans="1:3" x14ac:dyDescent="0.25">
      <c r="A1346" s="36">
        <v>41425</v>
      </c>
      <c r="B1346" s="121">
        <v>0.75753472222222218</v>
      </c>
      <c r="C1346" s="26" t="s">
        <v>1216</v>
      </c>
    </row>
    <row r="1347" spans="1:3" x14ac:dyDescent="0.25">
      <c r="A1347" s="36">
        <v>41425</v>
      </c>
      <c r="B1347" s="121">
        <v>0.75753472222222218</v>
      </c>
      <c r="C1347" s="26" t="s">
        <v>1216</v>
      </c>
    </row>
    <row r="1348" spans="1:3" x14ac:dyDescent="0.25">
      <c r="A1348" s="36">
        <v>41425</v>
      </c>
      <c r="B1348" s="121">
        <v>0.75753472222222218</v>
      </c>
      <c r="C1348" s="26" t="s">
        <v>1217</v>
      </c>
    </row>
    <row r="1349" spans="1:3" x14ac:dyDescent="0.25">
      <c r="A1349" s="36">
        <v>41425</v>
      </c>
      <c r="B1349" s="121">
        <v>0.75753472222222218</v>
      </c>
      <c r="C1349" s="26" t="s">
        <v>1219</v>
      </c>
    </row>
    <row r="1350" spans="1:3" x14ac:dyDescent="0.25">
      <c r="A1350" s="36">
        <v>41425</v>
      </c>
      <c r="B1350" s="121">
        <v>0.75753472222222218</v>
      </c>
      <c r="C1350" s="26" t="s">
        <v>1220</v>
      </c>
    </row>
    <row r="1351" spans="1:3" x14ac:dyDescent="0.25">
      <c r="A1351" s="36">
        <v>41425</v>
      </c>
      <c r="B1351" s="121">
        <v>0.75753472222222218</v>
      </c>
      <c r="C1351" s="26" t="s">
        <v>1221</v>
      </c>
    </row>
    <row r="1352" spans="1:3" x14ac:dyDescent="0.25">
      <c r="A1352" s="36">
        <v>41425</v>
      </c>
      <c r="B1352" s="121">
        <v>0.75753472222222218</v>
      </c>
      <c r="C1352" s="26" t="s">
        <v>1214</v>
      </c>
    </row>
    <row r="1353" spans="1:3" x14ac:dyDescent="0.25">
      <c r="A1353" s="36">
        <v>41425</v>
      </c>
      <c r="B1353" s="121">
        <v>0.75753472222222218</v>
      </c>
      <c r="C1353" s="26" t="s">
        <v>1223</v>
      </c>
    </row>
    <row r="1354" spans="1:3" x14ac:dyDescent="0.25">
      <c r="A1354" s="36">
        <v>41425</v>
      </c>
      <c r="B1354" s="121">
        <v>0.75753472222222218</v>
      </c>
      <c r="C1354" s="26" t="s">
        <v>1223</v>
      </c>
    </row>
    <row r="1355" spans="1:3" x14ac:dyDescent="0.25">
      <c r="A1355" s="36">
        <v>41425</v>
      </c>
      <c r="B1355" s="121">
        <v>0.75753472222222218</v>
      </c>
      <c r="C1355" s="26" t="s">
        <v>1224</v>
      </c>
    </row>
    <row r="1356" spans="1:3" x14ac:dyDescent="0.25">
      <c r="A1356" s="36">
        <v>41425</v>
      </c>
      <c r="B1356" s="121">
        <v>0.75753472222222218</v>
      </c>
      <c r="C1356" s="26" t="s">
        <v>1219</v>
      </c>
    </row>
    <row r="1357" spans="1:3" x14ac:dyDescent="0.25">
      <c r="A1357" s="36">
        <v>41425</v>
      </c>
      <c r="B1357" s="121">
        <v>0.75753472222222218</v>
      </c>
      <c r="C1357" s="26" t="s">
        <v>1219</v>
      </c>
    </row>
    <row r="1358" spans="1:3" x14ac:dyDescent="0.25">
      <c r="A1358" s="36">
        <v>41425</v>
      </c>
      <c r="B1358" s="121">
        <v>0.75753472222222218</v>
      </c>
      <c r="C1358" s="26" t="s">
        <v>1225</v>
      </c>
    </row>
    <row r="1359" spans="1:3" x14ac:dyDescent="0.25">
      <c r="A1359" s="36">
        <v>41425</v>
      </c>
      <c r="B1359" s="121">
        <v>0.75753472222222218</v>
      </c>
      <c r="C1359" s="26" t="s">
        <v>1226</v>
      </c>
    </row>
    <row r="1360" spans="1:3" x14ac:dyDescent="0.25">
      <c r="A1360" s="36">
        <v>41425</v>
      </c>
      <c r="B1360" s="121">
        <v>0.75753472222222218</v>
      </c>
      <c r="C1360" s="26" t="s">
        <v>1226</v>
      </c>
    </row>
    <row r="1361" spans="1:3" x14ac:dyDescent="0.25">
      <c r="A1361" s="36">
        <v>41425</v>
      </c>
      <c r="B1361" s="121">
        <v>0.75753472222222218</v>
      </c>
      <c r="C1361" s="26" t="s">
        <v>1223</v>
      </c>
    </row>
    <row r="1362" spans="1:3" x14ac:dyDescent="0.25">
      <c r="A1362" s="36">
        <v>41425</v>
      </c>
      <c r="B1362" s="121">
        <v>0.75753472222222218</v>
      </c>
      <c r="C1362" s="26" t="s">
        <v>1227</v>
      </c>
    </row>
    <row r="1363" spans="1:3" x14ac:dyDescent="0.25">
      <c r="A1363" s="36">
        <v>41425</v>
      </c>
      <c r="B1363" s="121">
        <v>0.75753472222222218</v>
      </c>
      <c r="C1363" s="26" t="s">
        <v>1227</v>
      </c>
    </row>
    <row r="1364" spans="1:3" x14ac:dyDescent="0.25">
      <c r="A1364" s="36">
        <v>41425</v>
      </c>
      <c r="B1364" s="121">
        <v>0.75753472222222218</v>
      </c>
      <c r="C1364" s="26" t="s">
        <v>1214</v>
      </c>
    </row>
    <row r="1365" spans="1:3" x14ac:dyDescent="0.25">
      <c r="A1365" s="36">
        <v>41425</v>
      </c>
      <c r="B1365" s="121">
        <v>0.75753472222222218</v>
      </c>
      <c r="C1365" s="26" t="s">
        <v>1223</v>
      </c>
    </row>
    <row r="1366" spans="1:3" x14ac:dyDescent="0.25">
      <c r="A1366" s="36">
        <v>41425</v>
      </c>
      <c r="B1366" s="121">
        <v>0.75753472222222218</v>
      </c>
      <c r="C1366" s="26" t="s">
        <v>1223</v>
      </c>
    </row>
    <row r="1367" spans="1:3" x14ac:dyDescent="0.25">
      <c r="A1367" s="36">
        <v>41425</v>
      </c>
      <c r="B1367" s="121">
        <v>0.75753472222222218</v>
      </c>
      <c r="C1367" s="26" t="s">
        <v>1220</v>
      </c>
    </row>
    <row r="1368" spans="1:3" x14ac:dyDescent="0.25">
      <c r="A1368" s="36">
        <v>41425</v>
      </c>
      <c r="B1368" s="121">
        <v>0.75754629629629633</v>
      </c>
      <c r="C1368" s="26" t="s">
        <v>1546</v>
      </c>
    </row>
    <row r="1369" spans="1:3" x14ac:dyDescent="0.25">
      <c r="A1369" s="36">
        <v>41425</v>
      </c>
      <c r="B1369" s="121">
        <v>0.75968750000000007</v>
      </c>
      <c r="C1369" s="26" t="s">
        <v>1547</v>
      </c>
    </row>
    <row r="1370" spans="1:3" ht="30" x14ac:dyDescent="0.25">
      <c r="A1370" s="36">
        <v>41425</v>
      </c>
      <c r="B1370" s="121">
        <v>0.75974537037037038</v>
      </c>
      <c r="C1370" s="831" t="s">
        <v>1548</v>
      </c>
    </row>
    <row r="1371" spans="1:3" ht="45" x14ac:dyDescent="0.25">
      <c r="A1371" s="36">
        <v>41425</v>
      </c>
      <c r="B1371" s="121">
        <v>0.75983796296296291</v>
      </c>
      <c r="C1371" s="831" t="s">
        <v>1549</v>
      </c>
    </row>
    <row r="1372" spans="1:3" ht="45" x14ac:dyDescent="0.25">
      <c r="A1372" s="36">
        <v>41425</v>
      </c>
      <c r="B1372" s="121">
        <v>0.76018518518518519</v>
      </c>
      <c r="C1372" s="831" t="s">
        <v>1550</v>
      </c>
    </row>
    <row r="1373" spans="1:3" x14ac:dyDescent="0.25">
      <c r="A1373" s="36">
        <v>41425</v>
      </c>
      <c r="B1373" s="121">
        <v>0.76033564814814814</v>
      </c>
      <c r="C1373" s="26" t="s">
        <v>1551</v>
      </c>
    </row>
    <row r="1374" spans="1:3" x14ac:dyDescent="0.25">
      <c r="A1374" s="36">
        <v>41425</v>
      </c>
      <c r="B1374" s="121">
        <v>0.7622916666666667</v>
      </c>
      <c r="C1374" s="26" t="s">
        <v>1213</v>
      </c>
    </row>
    <row r="1375" spans="1:3" x14ac:dyDescent="0.25">
      <c r="A1375" s="36">
        <v>41425</v>
      </c>
      <c r="B1375" s="121">
        <v>0.7622916666666667</v>
      </c>
      <c r="C1375" s="26" t="s">
        <v>1214</v>
      </c>
    </row>
    <row r="1376" spans="1:3" x14ac:dyDescent="0.25">
      <c r="A1376" s="36">
        <v>41425</v>
      </c>
      <c r="B1376" s="121">
        <v>0.7622916666666667</v>
      </c>
      <c r="C1376" s="26" t="s">
        <v>1214</v>
      </c>
    </row>
    <row r="1377" spans="1:3" x14ac:dyDescent="0.25">
      <c r="A1377" s="36">
        <v>41425</v>
      </c>
      <c r="B1377" s="121">
        <v>0.7622916666666667</v>
      </c>
      <c r="C1377" s="26" t="s">
        <v>1216</v>
      </c>
    </row>
    <row r="1378" spans="1:3" x14ac:dyDescent="0.25">
      <c r="A1378" s="36">
        <v>41425</v>
      </c>
      <c r="B1378" s="121">
        <v>0.7622916666666667</v>
      </c>
      <c r="C1378" s="26" t="s">
        <v>1216</v>
      </c>
    </row>
    <row r="1379" spans="1:3" x14ac:dyDescent="0.25">
      <c r="A1379" s="36">
        <v>41425</v>
      </c>
      <c r="B1379" s="121">
        <v>0.7622916666666667</v>
      </c>
      <c r="C1379" s="26" t="s">
        <v>1217</v>
      </c>
    </row>
    <row r="1380" spans="1:3" x14ac:dyDescent="0.25">
      <c r="A1380" s="36">
        <v>41425</v>
      </c>
      <c r="B1380" s="121">
        <v>0.7622916666666667</v>
      </c>
      <c r="C1380" s="26" t="s">
        <v>1219</v>
      </c>
    </row>
    <row r="1381" spans="1:3" x14ac:dyDescent="0.25">
      <c r="A1381" s="36">
        <v>41425</v>
      </c>
      <c r="B1381" s="121">
        <v>0.7622916666666667</v>
      </c>
      <c r="C1381" s="26" t="s">
        <v>1220</v>
      </c>
    </row>
    <row r="1382" spans="1:3" x14ac:dyDescent="0.25">
      <c r="A1382" s="36">
        <v>41425</v>
      </c>
      <c r="B1382" s="121">
        <v>0.7622916666666667</v>
      </c>
      <c r="C1382" s="26" t="s">
        <v>1221</v>
      </c>
    </row>
    <row r="1383" spans="1:3" x14ac:dyDescent="0.25">
      <c r="A1383" s="36">
        <v>41425</v>
      </c>
      <c r="B1383" s="121">
        <v>0.7622916666666667</v>
      </c>
      <c r="C1383" s="26" t="s">
        <v>1214</v>
      </c>
    </row>
    <row r="1384" spans="1:3" x14ac:dyDescent="0.25">
      <c r="A1384" s="36">
        <v>41425</v>
      </c>
      <c r="B1384" s="121">
        <v>0.7622916666666667</v>
      </c>
      <c r="C1384" s="26" t="s">
        <v>1223</v>
      </c>
    </row>
    <row r="1385" spans="1:3" x14ac:dyDescent="0.25">
      <c r="A1385" s="36">
        <v>41425</v>
      </c>
      <c r="B1385" s="121">
        <v>0.7622916666666667</v>
      </c>
      <c r="C1385" s="26" t="s">
        <v>1223</v>
      </c>
    </row>
    <row r="1386" spans="1:3" x14ac:dyDescent="0.25">
      <c r="A1386" s="36">
        <v>41425</v>
      </c>
      <c r="B1386" s="121">
        <v>0.7622916666666667</v>
      </c>
      <c r="C1386" s="26" t="s">
        <v>1224</v>
      </c>
    </row>
    <row r="1387" spans="1:3" x14ac:dyDescent="0.25">
      <c r="A1387" s="36">
        <v>41425</v>
      </c>
      <c r="B1387" s="121">
        <v>0.7622916666666667</v>
      </c>
      <c r="C1387" s="26" t="s">
        <v>1219</v>
      </c>
    </row>
    <row r="1388" spans="1:3" x14ac:dyDescent="0.25">
      <c r="A1388" s="36">
        <v>41425</v>
      </c>
      <c r="B1388" s="121">
        <v>0.7622916666666667</v>
      </c>
      <c r="C1388" s="26" t="s">
        <v>1219</v>
      </c>
    </row>
    <row r="1389" spans="1:3" x14ac:dyDescent="0.25">
      <c r="A1389" s="36">
        <v>41425</v>
      </c>
      <c r="B1389" s="121">
        <v>0.7622916666666667</v>
      </c>
      <c r="C1389" s="26" t="s">
        <v>1225</v>
      </c>
    </row>
    <row r="1390" spans="1:3" x14ac:dyDescent="0.25">
      <c r="A1390" s="36">
        <v>41425</v>
      </c>
      <c r="B1390" s="121">
        <v>0.7622916666666667</v>
      </c>
      <c r="C1390" s="26" t="s">
        <v>1226</v>
      </c>
    </row>
    <row r="1391" spans="1:3" x14ac:dyDescent="0.25">
      <c r="A1391" s="36">
        <v>41425</v>
      </c>
      <c r="B1391" s="121">
        <v>0.7622916666666667</v>
      </c>
      <c r="C1391" s="26" t="s">
        <v>1226</v>
      </c>
    </row>
    <row r="1392" spans="1:3" x14ac:dyDescent="0.25">
      <c r="A1392" s="36">
        <v>41425</v>
      </c>
      <c r="B1392" s="121">
        <v>0.76230324074074074</v>
      </c>
      <c r="C1392" s="26" t="s">
        <v>1223</v>
      </c>
    </row>
    <row r="1393" spans="1:3" x14ac:dyDescent="0.25">
      <c r="A1393" s="36">
        <v>41425</v>
      </c>
      <c r="B1393" s="121">
        <v>0.76230324074074074</v>
      </c>
      <c r="C1393" s="26" t="s">
        <v>1227</v>
      </c>
    </row>
    <row r="1394" spans="1:3" x14ac:dyDescent="0.25">
      <c r="A1394" s="36">
        <v>41425</v>
      </c>
      <c r="B1394" s="121">
        <v>0.76230324074074074</v>
      </c>
      <c r="C1394" s="26" t="s">
        <v>1227</v>
      </c>
    </row>
    <row r="1395" spans="1:3" x14ac:dyDescent="0.25">
      <c r="A1395" s="36">
        <v>41425</v>
      </c>
      <c r="B1395" s="121">
        <v>0.76230324074074074</v>
      </c>
      <c r="C1395" s="26" t="s">
        <v>1214</v>
      </c>
    </row>
    <row r="1396" spans="1:3" x14ac:dyDescent="0.25">
      <c r="A1396" s="36">
        <v>41425</v>
      </c>
      <c r="B1396" s="121">
        <v>0.76230324074074074</v>
      </c>
      <c r="C1396" s="26" t="s">
        <v>1223</v>
      </c>
    </row>
    <row r="1397" spans="1:3" x14ac:dyDescent="0.25">
      <c r="A1397" s="36">
        <v>41425</v>
      </c>
      <c r="B1397" s="121">
        <v>0.76230324074074074</v>
      </c>
      <c r="C1397" s="26" t="s">
        <v>1223</v>
      </c>
    </row>
    <row r="1398" spans="1:3" x14ac:dyDescent="0.25">
      <c r="A1398" s="36">
        <v>41425</v>
      </c>
      <c r="B1398" s="121">
        <v>0.76230324074074074</v>
      </c>
      <c r="C1398" s="26" t="s">
        <v>1220</v>
      </c>
    </row>
    <row r="1399" spans="1:3" x14ac:dyDescent="0.25">
      <c r="A1399" s="36">
        <v>41425</v>
      </c>
      <c r="B1399" s="121">
        <v>0.76265046296296291</v>
      </c>
      <c r="C1399" s="26" t="s">
        <v>1400</v>
      </c>
    </row>
    <row r="1400" spans="1:3" x14ac:dyDescent="0.25">
      <c r="A1400" s="36">
        <v>41425</v>
      </c>
      <c r="B1400" s="121">
        <v>0.76265046296296291</v>
      </c>
      <c r="C1400" s="26" t="s">
        <v>1400</v>
      </c>
    </row>
    <row r="1401" spans="1:3" x14ac:dyDescent="0.25">
      <c r="A1401" s="36">
        <v>41425</v>
      </c>
      <c r="B1401" s="121">
        <v>0.76265046296296291</v>
      </c>
      <c r="C1401" s="26" t="s">
        <v>1401</v>
      </c>
    </row>
    <row r="1402" spans="1:3" x14ac:dyDescent="0.25">
      <c r="A1402" s="36">
        <v>41425</v>
      </c>
      <c r="B1402" s="121">
        <v>0.76266203703703705</v>
      </c>
      <c r="C1402" s="26" t="s">
        <v>1402</v>
      </c>
    </row>
    <row r="1403" spans="1:3" x14ac:dyDescent="0.25">
      <c r="A1403" s="36">
        <v>41425</v>
      </c>
      <c r="B1403" s="121">
        <v>0.76267361111111109</v>
      </c>
      <c r="C1403" s="26" t="s">
        <v>1403</v>
      </c>
    </row>
    <row r="1404" spans="1:3" x14ac:dyDescent="0.25">
      <c r="A1404" s="36">
        <v>41425</v>
      </c>
      <c r="B1404" s="121">
        <v>0.76267361111111109</v>
      </c>
      <c r="C1404" s="26" t="s">
        <v>1401</v>
      </c>
    </row>
    <row r="1405" spans="1:3" x14ac:dyDescent="0.25">
      <c r="A1405" s="36">
        <v>41425</v>
      </c>
      <c r="B1405" s="121">
        <v>0.76267361111111109</v>
      </c>
      <c r="C1405" s="26" t="s">
        <v>1401</v>
      </c>
    </row>
    <row r="1406" spans="1:3" x14ac:dyDescent="0.25">
      <c r="A1406" s="36">
        <v>41425</v>
      </c>
      <c r="B1406" s="121">
        <v>0.76268518518518524</v>
      </c>
      <c r="C1406" s="26" t="s">
        <v>1403</v>
      </c>
    </row>
    <row r="1407" spans="1:3" x14ac:dyDescent="0.25">
      <c r="A1407" s="36">
        <v>41425</v>
      </c>
      <c r="B1407" s="121">
        <v>0.76268518518518524</v>
      </c>
      <c r="C1407" s="26" t="s">
        <v>1404</v>
      </c>
    </row>
    <row r="1408" spans="1:3" x14ac:dyDescent="0.25">
      <c r="A1408" s="36">
        <v>41425</v>
      </c>
      <c r="B1408" s="121">
        <v>0.76268518518518524</v>
      </c>
      <c r="C1408" s="26" t="s">
        <v>1405</v>
      </c>
    </row>
    <row r="1409" spans="1:3" x14ac:dyDescent="0.25">
      <c r="A1409" s="36">
        <v>41425</v>
      </c>
      <c r="B1409" s="121">
        <v>0.76269675925925917</v>
      </c>
      <c r="C1409" s="26" t="s">
        <v>1406</v>
      </c>
    </row>
    <row r="1410" spans="1:3" x14ac:dyDescent="0.25">
      <c r="A1410" s="36">
        <v>41425</v>
      </c>
      <c r="B1410" s="121">
        <v>0.76269675925925917</v>
      </c>
      <c r="C1410" s="26" t="s">
        <v>1405</v>
      </c>
    </row>
    <row r="1411" spans="1:3" x14ac:dyDescent="0.25">
      <c r="A1411" s="36">
        <v>41425</v>
      </c>
      <c r="B1411" s="121">
        <v>0.76269675925925917</v>
      </c>
      <c r="C1411" s="26" t="s">
        <v>1405</v>
      </c>
    </row>
    <row r="1412" spans="1:3" x14ac:dyDescent="0.25">
      <c r="A1412" s="36">
        <v>41425</v>
      </c>
      <c r="B1412" s="121">
        <v>0.76270833333333332</v>
      </c>
      <c r="C1412" s="26" t="s">
        <v>1407</v>
      </c>
    </row>
    <row r="1413" spans="1:3" x14ac:dyDescent="0.25">
      <c r="A1413" s="36">
        <v>41425</v>
      </c>
      <c r="B1413" s="121">
        <v>0.76270833333333332</v>
      </c>
      <c r="C1413" s="26" t="s">
        <v>1408</v>
      </c>
    </row>
    <row r="1414" spans="1:3" x14ac:dyDescent="0.25">
      <c r="A1414" s="36">
        <v>41425</v>
      </c>
      <c r="B1414" s="121">
        <v>0.76270833333333332</v>
      </c>
      <c r="C1414" s="26" t="s">
        <v>1408</v>
      </c>
    </row>
    <row r="1415" spans="1:3" x14ac:dyDescent="0.25">
      <c r="A1415" s="36">
        <v>41425</v>
      </c>
      <c r="B1415" s="121">
        <v>0.76270833333333332</v>
      </c>
      <c r="C1415" s="26" t="s">
        <v>1409</v>
      </c>
    </row>
    <row r="1416" spans="1:3" x14ac:dyDescent="0.25">
      <c r="A1416" s="36">
        <v>41425</v>
      </c>
      <c r="B1416" s="121">
        <v>0.76270833333333332</v>
      </c>
      <c r="C1416" s="26" t="s">
        <v>1410</v>
      </c>
    </row>
    <row r="1417" spans="1:3" x14ac:dyDescent="0.25">
      <c r="A1417" s="36">
        <v>41425</v>
      </c>
      <c r="B1417" s="121">
        <v>0.76270833333333332</v>
      </c>
      <c r="C1417" s="26" t="s">
        <v>1411</v>
      </c>
    </row>
    <row r="1418" spans="1:3" x14ac:dyDescent="0.25">
      <c r="A1418" s="36">
        <v>41425</v>
      </c>
      <c r="B1418" s="121">
        <v>0.76270833333333332</v>
      </c>
      <c r="C1418" s="26" t="s">
        <v>1412</v>
      </c>
    </row>
    <row r="1419" spans="1:3" x14ac:dyDescent="0.25">
      <c r="A1419" s="36">
        <v>41425</v>
      </c>
      <c r="B1419" s="121">
        <v>0.76270833333333332</v>
      </c>
      <c r="C1419" s="26" t="s">
        <v>1405</v>
      </c>
    </row>
    <row r="1420" spans="1:3" x14ac:dyDescent="0.25">
      <c r="A1420" s="36">
        <v>41425</v>
      </c>
      <c r="B1420" s="121">
        <v>0.76270833333333332</v>
      </c>
      <c r="C1420" s="26" t="s">
        <v>1408</v>
      </c>
    </row>
    <row r="1421" spans="1:3" x14ac:dyDescent="0.25">
      <c r="A1421" s="36">
        <v>41425</v>
      </c>
      <c r="B1421" s="121">
        <v>0.76270833333333332</v>
      </c>
      <c r="C1421" s="26" t="s">
        <v>1411</v>
      </c>
    </row>
    <row r="1422" spans="1:3" x14ac:dyDescent="0.25">
      <c r="A1422" s="36">
        <v>41425</v>
      </c>
      <c r="B1422" s="121">
        <v>0.76270833333333332</v>
      </c>
      <c r="C1422" s="26" t="s">
        <v>1408</v>
      </c>
    </row>
    <row r="1423" spans="1:3" x14ac:dyDescent="0.25">
      <c r="A1423" s="36">
        <v>41425</v>
      </c>
      <c r="B1423" s="121">
        <v>0.76270833333333332</v>
      </c>
      <c r="C1423" s="26" t="s">
        <v>1411</v>
      </c>
    </row>
    <row r="1424" spans="1:3" x14ac:dyDescent="0.25">
      <c r="A1424" s="36">
        <v>41425</v>
      </c>
      <c r="B1424" s="121">
        <v>0.76270833333333332</v>
      </c>
      <c r="C1424" s="26" t="s">
        <v>1411</v>
      </c>
    </row>
    <row r="1425" spans="1:3" x14ac:dyDescent="0.25">
      <c r="A1425" s="36">
        <v>41425</v>
      </c>
      <c r="B1425" s="121">
        <v>0.76270833333333332</v>
      </c>
      <c r="C1425" s="26" t="s">
        <v>1410</v>
      </c>
    </row>
    <row r="1426" spans="1:3" x14ac:dyDescent="0.25">
      <c r="A1426" s="36">
        <v>41425</v>
      </c>
      <c r="B1426" s="121">
        <v>0.76270833333333332</v>
      </c>
      <c r="C1426" s="26" t="s">
        <v>1401</v>
      </c>
    </row>
    <row r="1427" spans="1:3" x14ac:dyDescent="0.25">
      <c r="A1427" s="36">
        <v>41425</v>
      </c>
      <c r="B1427" s="121">
        <v>0.76271990740740747</v>
      </c>
      <c r="C1427" s="26" t="s">
        <v>1408</v>
      </c>
    </row>
    <row r="1428" spans="1:3" x14ac:dyDescent="0.25">
      <c r="A1428" s="36">
        <v>41425</v>
      </c>
      <c r="B1428" s="121">
        <v>0.76271990740740747</v>
      </c>
      <c r="C1428" s="26" t="s">
        <v>1412</v>
      </c>
    </row>
    <row r="1429" spans="1:3" x14ac:dyDescent="0.25">
      <c r="A1429" s="36">
        <v>41425</v>
      </c>
      <c r="B1429" s="121">
        <v>0.76271990740740747</v>
      </c>
      <c r="C1429" s="26" t="s">
        <v>1412</v>
      </c>
    </row>
    <row r="1430" spans="1:3" x14ac:dyDescent="0.25">
      <c r="A1430" s="36">
        <v>41425</v>
      </c>
      <c r="B1430" s="121">
        <v>0.76271990740740747</v>
      </c>
      <c r="C1430" s="26" t="s">
        <v>1408</v>
      </c>
    </row>
    <row r="1431" spans="1:3" x14ac:dyDescent="0.25">
      <c r="A1431" s="36">
        <v>41425</v>
      </c>
      <c r="B1431" s="121">
        <v>0.76271990740740747</v>
      </c>
      <c r="C1431" s="26" t="s">
        <v>1414</v>
      </c>
    </row>
    <row r="1432" spans="1:3" x14ac:dyDescent="0.25">
      <c r="A1432" s="36">
        <v>41425</v>
      </c>
      <c r="B1432" s="121">
        <v>0.76271990740740747</v>
      </c>
      <c r="C1432" s="26" t="s">
        <v>1415</v>
      </c>
    </row>
    <row r="1433" spans="1:3" x14ac:dyDescent="0.25">
      <c r="A1433" s="36">
        <v>41425</v>
      </c>
      <c r="B1433" s="121">
        <v>0.76271990740740747</v>
      </c>
      <c r="C1433" s="26" t="s">
        <v>1411</v>
      </c>
    </row>
    <row r="1434" spans="1:3" x14ac:dyDescent="0.25">
      <c r="A1434" s="36">
        <v>41425</v>
      </c>
      <c r="B1434" s="121">
        <v>0.76271990740740747</v>
      </c>
      <c r="C1434" s="26" t="s">
        <v>1416</v>
      </c>
    </row>
    <row r="1435" spans="1:3" x14ac:dyDescent="0.25">
      <c r="A1435" s="36">
        <v>41425</v>
      </c>
      <c r="B1435" s="121">
        <v>0.76271990740740747</v>
      </c>
      <c r="C1435" s="26" t="s">
        <v>1416</v>
      </c>
    </row>
    <row r="1436" spans="1:3" x14ac:dyDescent="0.25">
      <c r="A1436" s="36">
        <v>41425</v>
      </c>
      <c r="B1436" s="121">
        <v>0.76271990740740747</v>
      </c>
      <c r="C1436" s="26" t="s">
        <v>1417</v>
      </c>
    </row>
    <row r="1437" spans="1:3" x14ac:dyDescent="0.25">
      <c r="A1437" s="36">
        <v>41425</v>
      </c>
      <c r="B1437" s="121">
        <v>0.76271990740740747</v>
      </c>
      <c r="C1437" s="26" t="s">
        <v>1403</v>
      </c>
    </row>
    <row r="1438" spans="1:3" x14ac:dyDescent="0.25">
      <c r="A1438" s="36">
        <v>41425</v>
      </c>
      <c r="B1438" s="121">
        <v>0.76271990740740747</v>
      </c>
      <c r="C1438" s="26" t="s">
        <v>1418</v>
      </c>
    </row>
    <row r="1439" spans="1:3" x14ac:dyDescent="0.25">
      <c r="A1439" s="36">
        <v>41425</v>
      </c>
      <c r="B1439" s="121">
        <v>0.76273148148148151</v>
      </c>
      <c r="C1439" s="26" t="s">
        <v>1493</v>
      </c>
    </row>
    <row r="1440" spans="1:3" x14ac:dyDescent="0.25">
      <c r="A1440" s="36">
        <v>41425</v>
      </c>
      <c r="B1440" s="121">
        <v>0.76273148148148151</v>
      </c>
      <c r="C1440" s="26" t="s">
        <v>1411</v>
      </c>
    </row>
    <row r="1441" spans="1:3" ht="30" x14ac:dyDescent="0.25">
      <c r="A1441" s="36">
        <v>41425</v>
      </c>
      <c r="B1441" s="121">
        <v>0.76273148148148151</v>
      </c>
      <c r="C1441" s="831" t="s">
        <v>1552</v>
      </c>
    </row>
    <row r="1442" spans="1:3" x14ac:dyDescent="0.25">
      <c r="A1442" s="36">
        <v>41425</v>
      </c>
      <c r="B1442" s="121">
        <v>0.76273148148148151</v>
      </c>
      <c r="C1442" s="26" t="s">
        <v>1553</v>
      </c>
    </row>
    <row r="1443" spans="1:3" x14ac:dyDescent="0.25">
      <c r="A1443" s="36">
        <v>41425</v>
      </c>
      <c r="B1443" s="121">
        <v>0.76314814814814813</v>
      </c>
      <c r="C1443" s="26" t="s">
        <v>1400</v>
      </c>
    </row>
    <row r="1444" spans="1:3" x14ac:dyDescent="0.25">
      <c r="A1444" s="36">
        <v>41425</v>
      </c>
      <c r="B1444" s="121">
        <v>0.76314814814814813</v>
      </c>
      <c r="C1444" s="26" t="s">
        <v>1400</v>
      </c>
    </row>
    <row r="1445" spans="1:3" x14ac:dyDescent="0.25">
      <c r="A1445" s="36">
        <v>41425</v>
      </c>
      <c r="B1445" s="121">
        <v>0.76314814814814813</v>
      </c>
      <c r="C1445" s="26" t="s">
        <v>1401</v>
      </c>
    </row>
    <row r="1446" spans="1:3" x14ac:dyDescent="0.25">
      <c r="A1446" s="36">
        <v>41425</v>
      </c>
      <c r="B1446" s="121">
        <v>0.76315972222222228</v>
      </c>
      <c r="C1446" s="26" t="s">
        <v>1402</v>
      </c>
    </row>
    <row r="1447" spans="1:3" x14ac:dyDescent="0.25">
      <c r="A1447" s="36">
        <v>41425</v>
      </c>
      <c r="B1447" s="121">
        <v>0.76317129629629632</v>
      </c>
      <c r="C1447" s="26" t="s">
        <v>1403</v>
      </c>
    </row>
    <row r="1448" spans="1:3" x14ac:dyDescent="0.25">
      <c r="A1448" s="36">
        <v>41425</v>
      </c>
      <c r="B1448" s="121">
        <v>0.76317129629629632</v>
      </c>
      <c r="C1448" s="26" t="s">
        <v>1401</v>
      </c>
    </row>
    <row r="1449" spans="1:3" x14ac:dyDescent="0.25">
      <c r="A1449" s="36">
        <v>41425</v>
      </c>
      <c r="B1449" s="121">
        <v>0.76317129629629632</v>
      </c>
      <c r="C1449" s="26" t="s">
        <v>1401</v>
      </c>
    </row>
    <row r="1450" spans="1:3" x14ac:dyDescent="0.25">
      <c r="A1450" s="36">
        <v>41425</v>
      </c>
      <c r="B1450" s="121">
        <v>0.76318287037037036</v>
      </c>
      <c r="C1450" s="26" t="s">
        <v>1403</v>
      </c>
    </row>
    <row r="1451" spans="1:3" x14ac:dyDescent="0.25">
      <c r="A1451" s="36">
        <v>41425</v>
      </c>
      <c r="B1451" s="121">
        <v>0.76318287037037036</v>
      </c>
      <c r="C1451" s="26" t="s">
        <v>1404</v>
      </c>
    </row>
    <row r="1452" spans="1:3" x14ac:dyDescent="0.25">
      <c r="A1452" s="36">
        <v>41425</v>
      </c>
      <c r="B1452" s="121">
        <v>0.76318287037037036</v>
      </c>
      <c r="C1452" s="26" t="s">
        <v>1405</v>
      </c>
    </row>
    <row r="1453" spans="1:3" x14ac:dyDescent="0.25">
      <c r="A1453" s="36">
        <v>41425</v>
      </c>
      <c r="B1453" s="121">
        <v>0.7631944444444444</v>
      </c>
      <c r="C1453" s="26" t="s">
        <v>1406</v>
      </c>
    </row>
    <row r="1454" spans="1:3" x14ac:dyDescent="0.25">
      <c r="A1454" s="36">
        <v>41425</v>
      </c>
      <c r="B1454" s="121">
        <v>0.7631944444444444</v>
      </c>
      <c r="C1454" s="26" t="s">
        <v>1405</v>
      </c>
    </row>
    <row r="1455" spans="1:3" x14ac:dyDescent="0.25">
      <c r="A1455" s="36">
        <v>41425</v>
      </c>
      <c r="B1455" s="121">
        <v>0.7631944444444444</v>
      </c>
      <c r="C1455" s="26" t="s">
        <v>1405</v>
      </c>
    </row>
    <row r="1456" spans="1:3" x14ac:dyDescent="0.25">
      <c r="A1456" s="36">
        <v>41425</v>
      </c>
      <c r="B1456" s="121">
        <v>0.76320601851851855</v>
      </c>
      <c r="C1456" s="26" t="s">
        <v>1407</v>
      </c>
    </row>
    <row r="1457" spans="1:3" x14ac:dyDescent="0.25">
      <c r="A1457" s="36">
        <v>41425</v>
      </c>
      <c r="B1457" s="121">
        <v>0.76320601851851855</v>
      </c>
      <c r="C1457" s="26" t="s">
        <v>1408</v>
      </c>
    </row>
    <row r="1458" spans="1:3" x14ac:dyDescent="0.25">
      <c r="A1458" s="36">
        <v>41425</v>
      </c>
      <c r="B1458" s="121">
        <v>0.76320601851851855</v>
      </c>
      <c r="C1458" s="26" t="s">
        <v>1408</v>
      </c>
    </row>
    <row r="1459" spans="1:3" x14ac:dyDescent="0.25">
      <c r="A1459" s="36">
        <v>41425</v>
      </c>
      <c r="B1459" s="121">
        <v>0.76320601851851855</v>
      </c>
      <c r="C1459" s="26" t="s">
        <v>1409</v>
      </c>
    </row>
    <row r="1460" spans="1:3" x14ac:dyDescent="0.25">
      <c r="A1460" s="36">
        <v>41425</v>
      </c>
      <c r="B1460" s="121">
        <v>0.76320601851851855</v>
      </c>
      <c r="C1460" s="26" t="s">
        <v>1410</v>
      </c>
    </row>
    <row r="1461" spans="1:3" x14ac:dyDescent="0.25">
      <c r="A1461" s="36">
        <v>41425</v>
      </c>
      <c r="B1461" s="121">
        <v>0.76320601851851855</v>
      </c>
      <c r="C1461" s="26" t="s">
        <v>1411</v>
      </c>
    </row>
    <row r="1462" spans="1:3" x14ac:dyDescent="0.25">
      <c r="A1462" s="36">
        <v>41425</v>
      </c>
      <c r="B1462" s="121">
        <v>0.76320601851851855</v>
      </c>
      <c r="C1462" s="26" t="s">
        <v>1412</v>
      </c>
    </row>
    <row r="1463" spans="1:3" x14ac:dyDescent="0.25">
      <c r="A1463" s="36">
        <v>41425</v>
      </c>
      <c r="B1463" s="121">
        <v>0.76320601851851855</v>
      </c>
      <c r="C1463" s="26" t="s">
        <v>1405</v>
      </c>
    </row>
    <row r="1464" spans="1:3" x14ac:dyDescent="0.25">
      <c r="A1464" s="36">
        <v>41425</v>
      </c>
      <c r="B1464" s="121">
        <v>0.76320601851851855</v>
      </c>
      <c r="C1464" s="26" t="s">
        <v>1408</v>
      </c>
    </row>
    <row r="1465" spans="1:3" x14ac:dyDescent="0.25">
      <c r="A1465" s="36">
        <v>41425</v>
      </c>
      <c r="B1465" s="121">
        <v>0.76320601851851855</v>
      </c>
      <c r="C1465" s="26" t="s">
        <v>1411</v>
      </c>
    </row>
    <row r="1466" spans="1:3" x14ac:dyDescent="0.25">
      <c r="A1466" s="36">
        <v>41425</v>
      </c>
      <c r="B1466" s="121">
        <v>0.76320601851851855</v>
      </c>
      <c r="C1466" s="26" t="s">
        <v>1408</v>
      </c>
    </row>
    <row r="1467" spans="1:3" x14ac:dyDescent="0.25">
      <c r="A1467" s="36">
        <v>41425</v>
      </c>
      <c r="B1467" s="121">
        <v>0.76320601851851855</v>
      </c>
      <c r="C1467" s="26" t="s">
        <v>1411</v>
      </c>
    </row>
    <row r="1468" spans="1:3" x14ac:dyDescent="0.25">
      <c r="A1468" s="36">
        <v>41425</v>
      </c>
      <c r="B1468" s="121">
        <v>0.76320601851851855</v>
      </c>
      <c r="C1468" s="26" t="s">
        <v>1411</v>
      </c>
    </row>
    <row r="1469" spans="1:3" x14ac:dyDescent="0.25">
      <c r="A1469" s="36">
        <v>41425</v>
      </c>
      <c r="B1469" s="121">
        <v>0.76320601851851855</v>
      </c>
      <c r="C1469" s="26" t="s">
        <v>1410</v>
      </c>
    </row>
    <row r="1470" spans="1:3" x14ac:dyDescent="0.25">
      <c r="A1470" s="36">
        <v>41425</v>
      </c>
      <c r="B1470" s="121">
        <v>0.76320601851851855</v>
      </c>
      <c r="C1470" s="26" t="s">
        <v>1401</v>
      </c>
    </row>
    <row r="1471" spans="1:3" x14ac:dyDescent="0.25">
      <c r="A1471" s="36">
        <v>41425</v>
      </c>
      <c r="B1471" s="121">
        <v>0.76320601851851855</v>
      </c>
      <c r="C1471" s="26" t="s">
        <v>1408</v>
      </c>
    </row>
    <row r="1472" spans="1:3" x14ac:dyDescent="0.25">
      <c r="A1472" s="36">
        <v>41425</v>
      </c>
      <c r="B1472" s="121">
        <v>0.76320601851851855</v>
      </c>
      <c r="C1472" s="26" t="s">
        <v>1412</v>
      </c>
    </row>
    <row r="1473" spans="1:3" x14ac:dyDescent="0.25">
      <c r="A1473" s="36">
        <v>41425</v>
      </c>
      <c r="B1473" s="121">
        <v>0.7632175925925927</v>
      </c>
      <c r="C1473" s="26" t="s">
        <v>1412</v>
      </c>
    </row>
    <row r="1474" spans="1:3" x14ac:dyDescent="0.25">
      <c r="A1474" s="36">
        <v>41425</v>
      </c>
      <c r="B1474" s="121">
        <v>0.7632175925925927</v>
      </c>
      <c r="C1474" s="26" t="s">
        <v>1408</v>
      </c>
    </row>
    <row r="1475" spans="1:3" x14ac:dyDescent="0.25">
      <c r="A1475" s="36">
        <v>41425</v>
      </c>
      <c r="B1475" s="121">
        <v>0.7632175925925927</v>
      </c>
      <c r="C1475" s="26" t="s">
        <v>1414</v>
      </c>
    </row>
    <row r="1476" spans="1:3" x14ac:dyDescent="0.25">
      <c r="A1476" s="36">
        <v>41425</v>
      </c>
      <c r="B1476" s="121">
        <v>0.7632175925925927</v>
      </c>
      <c r="C1476" s="26" t="s">
        <v>1415</v>
      </c>
    </row>
    <row r="1477" spans="1:3" x14ac:dyDescent="0.25">
      <c r="A1477" s="36">
        <v>41425</v>
      </c>
      <c r="B1477" s="121">
        <v>0.7632175925925927</v>
      </c>
      <c r="C1477" s="26" t="s">
        <v>1411</v>
      </c>
    </row>
    <row r="1478" spans="1:3" x14ac:dyDescent="0.25">
      <c r="A1478" s="36">
        <v>41425</v>
      </c>
      <c r="B1478" s="121">
        <v>0.7632175925925927</v>
      </c>
      <c r="C1478" s="26" t="s">
        <v>1416</v>
      </c>
    </row>
    <row r="1479" spans="1:3" x14ac:dyDescent="0.25">
      <c r="A1479" s="36">
        <v>41425</v>
      </c>
      <c r="B1479" s="121">
        <v>0.7632175925925927</v>
      </c>
      <c r="C1479" s="26" t="s">
        <v>1416</v>
      </c>
    </row>
    <row r="1480" spans="1:3" x14ac:dyDescent="0.25">
      <c r="A1480" s="36">
        <v>41425</v>
      </c>
      <c r="B1480" s="121">
        <v>0.7632175925925927</v>
      </c>
      <c r="C1480" s="26" t="s">
        <v>1417</v>
      </c>
    </row>
    <row r="1481" spans="1:3" x14ac:dyDescent="0.25">
      <c r="A1481" s="36">
        <v>41425</v>
      </c>
      <c r="B1481" s="121">
        <v>0.7632175925925927</v>
      </c>
      <c r="C1481" s="26" t="s">
        <v>1403</v>
      </c>
    </row>
    <row r="1482" spans="1:3" x14ac:dyDescent="0.25">
      <c r="A1482" s="36">
        <v>41425</v>
      </c>
      <c r="B1482" s="121">
        <v>0.7632175925925927</v>
      </c>
      <c r="C1482" s="26" t="s">
        <v>1418</v>
      </c>
    </row>
    <row r="1483" spans="1:3" x14ac:dyDescent="0.25">
      <c r="A1483" s="36">
        <v>41425</v>
      </c>
      <c r="B1483" s="121">
        <v>0.7632175925925927</v>
      </c>
      <c r="C1483" s="26" t="s">
        <v>1493</v>
      </c>
    </row>
    <row r="1484" spans="1:3" x14ac:dyDescent="0.25">
      <c r="A1484" s="36">
        <v>41425</v>
      </c>
      <c r="B1484" s="121">
        <v>0.7632175925925927</v>
      </c>
      <c r="C1484" s="26" t="s">
        <v>1411</v>
      </c>
    </row>
    <row r="1485" spans="1:3" ht="30" x14ac:dyDescent="0.25">
      <c r="A1485" s="36">
        <v>41425</v>
      </c>
      <c r="B1485" s="121">
        <v>0.76322916666666663</v>
      </c>
      <c r="C1485" s="831" t="s">
        <v>1554</v>
      </c>
    </row>
    <row r="1486" spans="1:3" x14ac:dyDescent="0.25">
      <c r="A1486" s="36">
        <v>41425</v>
      </c>
      <c r="B1486" s="121">
        <v>0.76322916666666663</v>
      </c>
      <c r="C1486" s="26" t="s">
        <v>1555</v>
      </c>
    </row>
    <row r="1487" spans="1:3" x14ac:dyDescent="0.25">
      <c r="A1487" s="36">
        <v>41425</v>
      </c>
      <c r="B1487" s="121">
        <v>0.76523148148148146</v>
      </c>
      <c r="C1487" s="26" t="s">
        <v>1229</v>
      </c>
    </row>
    <row r="1488" spans="1:3" x14ac:dyDescent="0.25">
      <c r="A1488" s="36">
        <v>41425</v>
      </c>
      <c r="B1488" s="121">
        <v>0.76523148148148146</v>
      </c>
      <c r="C1488" s="26" t="s">
        <v>1230</v>
      </c>
    </row>
    <row r="1489" spans="1:3" x14ac:dyDescent="0.25">
      <c r="A1489" s="36">
        <v>41425</v>
      </c>
      <c r="B1489" s="121">
        <v>0.76523148148148146</v>
      </c>
      <c r="C1489" s="26" t="s">
        <v>1231</v>
      </c>
    </row>
    <row r="1490" spans="1:3" x14ac:dyDescent="0.25">
      <c r="A1490" s="36">
        <v>41425</v>
      </c>
      <c r="B1490" s="121">
        <v>0.76523148148148146</v>
      </c>
      <c r="C1490" s="26" t="s">
        <v>1232</v>
      </c>
    </row>
    <row r="1491" spans="1:3" x14ac:dyDescent="0.25">
      <c r="A1491" s="36">
        <v>41425</v>
      </c>
      <c r="B1491" s="121">
        <v>0.76523148148148146</v>
      </c>
      <c r="C1491" s="26" t="s">
        <v>1233</v>
      </c>
    </row>
    <row r="1492" spans="1:3" x14ac:dyDescent="0.25">
      <c r="A1492" s="36">
        <v>41425</v>
      </c>
      <c r="B1492" s="121">
        <v>0.76523148148148146</v>
      </c>
      <c r="C1492" s="26" t="s">
        <v>1234</v>
      </c>
    </row>
    <row r="1493" spans="1:3" x14ac:dyDescent="0.25">
      <c r="A1493" s="36">
        <v>41425</v>
      </c>
      <c r="B1493" s="121">
        <v>0.76523148148148146</v>
      </c>
      <c r="C1493" s="26" t="s">
        <v>1235</v>
      </c>
    </row>
    <row r="1494" spans="1:3" x14ac:dyDescent="0.25">
      <c r="A1494" s="36">
        <v>41425</v>
      </c>
      <c r="B1494" s="121">
        <v>0.76523148148148146</v>
      </c>
      <c r="C1494" s="26" t="s">
        <v>1236</v>
      </c>
    </row>
    <row r="1495" spans="1:3" x14ac:dyDescent="0.25">
      <c r="A1495" s="36">
        <v>41425</v>
      </c>
      <c r="B1495" s="121">
        <v>0.76523148148148146</v>
      </c>
      <c r="C1495" s="26" t="s">
        <v>1237</v>
      </c>
    </row>
    <row r="1496" spans="1:3" x14ac:dyDescent="0.25">
      <c r="A1496" s="36">
        <v>41425</v>
      </c>
      <c r="B1496" s="121">
        <v>0.76523148148148146</v>
      </c>
      <c r="C1496" s="26" t="s">
        <v>1238</v>
      </c>
    </row>
    <row r="1497" spans="1:3" x14ac:dyDescent="0.25">
      <c r="A1497" s="36">
        <v>41425</v>
      </c>
      <c r="B1497" s="121">
        <v>0.76523148148148146</v>
      </c>
      <c r="C1497" s="26" t="s">
        <v>1239</v>
      </c>
    </row>
    <row r="1498" spans="1:3" x14ac:dyDescent="0.25">
      <c r="A1498" s="36">
        <v>41425</v>
      </c>
      <c r="B1498" s="121">
        <v>0.76524305555555561</v>
      </c>
      <c r="C1498" s="26" t="s">
        <v>1240</v>
      </c>
    </row>
    <row r="1499" spans="1:3" x14ac:dyDescent="0.25">
      <c r="A1499" s="36">
        <v>41425</v>
      </c>
      <c r="B1499" s="121">
        <v>0.76524305555555561</v>
      </c>
      <c r="C1499" s="26" t="s">
        <v>1241</v>
      </c>
    </row>
    <row r="1500" spans="1:3" x14ac:dyDescent="0.25">
      <c r="A1500" s="36">
        <v>41425</v>
      </c>
      <c r="B1500" s="121">
        <v>0.76524305555555561</v>
      </c>
      <c r="C1500" s="26" t="s">
        <v>1242</v>
      </c>
    </row>
    <row r="1501" spans="1:3" x14ac:dyDescent="0.25">
      <c r="A1501" s="36">
        <v>41425</v>
      </c>
      <c r="B1501" s="121">
        <v>0.76524305555555561</v>
      </c>
      <c r="C1501" s="26" t="s">
        <v>1243</v>
      </c>
    </row>
    <row r="1502" spans="1:3" x14ac:dyDescent="0.25">
      <c r="A1502" s="36">
        <v>41425</v>
      </c>
      <c r="B1502" s="121">
        <v>0.76524305555555561</v>
      </c>
      <c r="C1502" s="26" t="s">
        <v>1244</v>
      </c>
    </row>
    <row r="1503" spans="1:3" x14ac:dyDescent="0.25">
      <c r="A1503" s="36">
        <v>41425</v>
      </c>
      <c r="B1503" s="121">
        <v>0.76524305555555561</v>
      </c>
      <c r="C1503" s="26" t="s">
        <v>1245</v>
      </c>
    </row>
    <row r="1504" spans="1:3" x14ac:dyDescent="0.25">
      <c r="A1504" s="36">
        <v>41425</v>
      </c>
      <c r="B1504" s="121">
        <v>0.76524305555555561</v>
      </c>
      <c r="C1504" s="26" t="s">
        <v>1233</v>
      </c>
    </row>
    <row r="1505" spans="1:3" x14ac:dyDescent="0.25">
      <c r="A1505" s="36">
        <v>41425</v>
      </c>
      <c r="B1505" s="121">
        <v>0.76524305555555561</v>
      </c>
      <c r="C1505" s="26" t="s">
        <v>1248</v>
      </c>
    </row>
    <row r="1506" spans="1:3" x14ac:dyDescent="0.25">
      <c r="A1506" s="36">
        <v>41425</v>
      </c>
      <c r="B1506" s="121">
        <v>0.76524305555555561</v>
      </c>
      <c r="C1506" s="26" t="s">
        <v>1249</v>
      </c>
    </row>
    <row r="1507" spans="1:3" x14ac:dyDescent="0.25">
      <c r="A1507" s="36">
        <v>41425</v>
      </c>
      <c r="B1507" s="121">
        <v>0.76524305555555561</v>
      </c>
      <c r="C1507" s="26" t="s">
        <v>1250</v>
      </c>
    </row>
    <row r="1508" spans="1:3" x14ac:dyDescent="0.25">
      <c r="A1508" s="36">
        <v>41425</v>
      </c>
      <c r="B1508" s="121">
        <v>0.76524305555555561</v>
      </c>
      <c r="C1508" s="26" t="s">
        <v>1251</v>
      </c>
    </row>
    <row r="1509" spans="1:3" x14ac:dyDescent="0.25">
      <c r="A1509" s="36">
        <v>41425</v>
      </c>
      <c r="B1509" s="121">
        <v>0.76524305555555561</v>
      </c>
      <c r="C1509" s="26" t="s">
        <v>1252</v>
      </c>
    </row>
    <row r="1510" spans="1:3" x14ac:dyDescent="0.25">
      <c r="A1510" s="36">
        <v>41425</v>
      </c>
      <c r="B1510" s="121">
        <v>0.76524305555555561</v>
      </c>
      <c r="C1510" s="26" t="s">
        <v>1253</v>
      </c>
    </row>
    <row r="1511" spans="1:3" x14ac:dyDescent="0.25">
      <c r="A1511" s="36">
        <v>41425</v>
      </c>
      <c r="B1511" s="121">
        <v>0.76524305555555561</v>
      </c>
      <c r="C1511" s="26" t="s">
        <v>1254</v>
      </c>
    </row>
    <row r="1512" spans="1:3" x14ac:dyDescent="0.25">
      <c r="A1512" s="36">
        <v>41425</v>
      </c>
      <c r="B1512" s="121">
        <v>0.76524305555555561</v>
      </c>
      <c r="C1512" s="26" t="s">
        <v>1255</v>
      </c>
    </row>
    <row r="1513" spans="1:3" x14ac:dyDescent="0.25">
      <c r="A1513" s="36">
        <v>41425</v>
      </c>
      <c r="B1513" s="121">
        <v>0.76524305555555561</v>
      </c>
      <c r="C1513" s="26" t="s">
        <v>1236</v>
      </c>
    </row>
    <row r="1514" spans="1:3" x14ac:dyDescent="0.25">
      <c r="A1514" s="36">
        <v>41425</v>
      </c>
      <c r="B1514" s="121">
        <v>0.76524305555555561</v>
      </c>
      <c r="C1514" s="26" t="s">
        <v>1257</v>
      </c>
    </row>
    <row r="1515" spans="1:3" x14ac:dyDescent="0.25">
      <c r="A1515" s="36">
        <v>41425</v>
      </c>
      <c r="B1515" s="121">
        <v>0.76524305555555561</v>
      </c>
      <c r="C1515" s="26" t="s">
        <v>1258</v>
      </c>
    </row>
    <row r="1516" spans="1:3" x14ac:dyDescent="0.25">
      <c r="A1516" s="36">
        <v>41425</v>
      </c>
      <c r="B1516" s="121">
        <v>0.76524305555555561</v>
      </c>
      <c r="C1516" s="26" t="s">
        <v>1259</v>
      </c>
    </row>
    <row r="1517" spans="1:3" x14ac:dyDescent="0.25">
      <c r="A1517" s="36">
        <v>41425</v>
      </c>
      <c r="B1517" s="121">
        <v>0.76524305555555561</v>
      </c>
      <c r="C1517" s="26" t="s">
        <v>1260</v>
      </c>
    </row>
    <row r="1518" spans="1:3" x14ac:dyDescent="0.25">
      <c r="A1518" s="36">
        <v>41425</v>
      </c>
      <c r="B1518" s="121">
        <v>0.76524305555555561</v>
      </c>
      <c r="C1518" s="26" t="s">
        <v>1260</v>
      </c>
    </row>
    <row r="1519" spans="1:3" x14ac:dyDescent="0.25">
      <c r="A1519" s="36">
        <v>41425</v>
      </c>
      <c r="B1519" s="121">
        <v>0.76524305555555561</v>
      </c>
      <c r="C1519" s="26" t="s">
        <v>1261</v>
      </c>
    </row>
    <row r="1520" spans="1:3" x14ac:dyDescent="0.25">
      <c r="A1520" s="36">
        <v>41425</v>
      </c>
      <c r="B1520" s="121">
        <v>0.76524305555555561</v>
      </c>
      <c r="C1520" s="26" t="s">
        <v>1260</v>
      </c>
    </row>
    <row r="1521" spans="1:3" x14ac:dyDescent="0.25">
      <c r="A1521" s="36">
        <v>41425</v>
      </c>
      <c r="B1521" s="121">
        <v>0.76524305555555561</v>
      </c>
      <c r="C1521" s="26" t="s">
        <v>1260</v>
      </c>
    </row>
    <row r="1522" spans="1:3" x14ac:dyDescent="0.25">
      <c r="A1522" s="36">
        <v>41425</v>
      </c>
      <c r="B1522" s="121">
        <v>0.76524305555555561</v>
      </c>
      <c r="C1522" s="26" t="s">
        <v>1236</v>
      </c>
    </row>
    <row r="1523" spans="1:3" x14ac:dyDescent="0.25">
      <c r="A1523" s="36">
        <v>41425</v>
      </c>
      <c r="B1523" s="121">
        <v>0.76524305555555561</v>
      </c>
      <c r="C1523" s="26" t="s">
        <v>1262</v>
      </c>
    </row>
    <row r="1524" spans="1:3" x14ac:dyDescent="0.25">
      <c r="A1524" s="36">
        <v>41425</v>
      </c>
      <c r="B1524" s="121">
        <v>0.76525462962962953</v>
      </c>
      <c r="C1524" s="26" t="s">
        <v>1254</v>
      </c>
    </row>
    <row r="1525" spans="1:3" x14ac:dyDescent="0.25">
      <c r="A1525" s="36">
        <v>41425</v>
      </c>
      <c r="B1525" s="121">
        <v>0.76525462962962953</v>
      </c>
      <c r="C1525" s="26" t="s">
        <v>1254</v>
      </c>
    </row>
    <row r="1526" spans="1:3" x14ac:dyDescent="0.25">
      <c r="A1526" s="36">
        <v>41425</v>
      </c>
      <c r="B1526" s="121">
        <v>0.76525462962962953</v>
      </c>
      <c r="C1526" s="26" t="s">
        <v>1263</v>
      </c>
    </row>
    <row r="1527" spans="1:3" x14ac:dyDescent="0.25">
      <c r="A1527" s="36">
        <v>41425</v>
      </c>
      <c r="B1527" s="121">
        <v>0.76525462962962953</v>
      </c>
      <c r="C1527" s="26" t="s">
        <v>1254</v>
      </c>
    </row>
    <row r="1528" spans="1:3" x14ac:dyDescent="0.25">
      <c r="A1528" s="36">
        <v>41425</v>
      </c>
      <c r="B1528" s="121">
        <v>0.76525462962962953</v>
      </c>
      <c r="C1528" s="26" t="s">
        <v>1252</v>
      </c>
    </row>
    <row r="1529" spans="1:3" x14ac:dyDescent="0.25">
      <c r="A1529" s="36">
        <v>41425</v>
      </c>
      <c r="B1529" s="121">
        <v>0.76525462962962953</v>
      </c>
      <c r="C1529" s="26" t="s">
        <v>1556</v>
      </c>
    </row>
    <row r="1530" spans="1:3" x14ac:dyDescent="0.25">
      <c r="A1530" s="36">
        <v>41425</v>
      </c>
      <c r="B1530" s="121">
        <v>0.76525462962962953</v>
      </c>
      <c r="C1530" s="26" t="s">
        <v>1260</v>
      </c>
    </row>
    <row r="1531" spans="1:3" x14ac:dyDescent="0.25">
      <c r="A1531" s="36">
        <v>41425</v>
      </c>
      <c r="B1531" s="121">
        <v>0.76525462962962953</v>
      </c>
      <c r="C1531" s="26" t="s">
        <v>1264</v>
      </c>
    </row>
    <row r="1532" spans="1:3" x14ac:dyDescent="0.25">
      <c r="A1532" s="36">
        <v>41425</v>
      </c>
      <c r="B1532" s="121">
        <v>0.76525462962962953</v>
      </c>
      <c r="C1532" s="26" t="s">
        <v>1265</v>
      </c>
    </row>
    <row r="1533" spans="1:3" x14ac:dyDescent="0.25">
      <c r="A1533" s="36">
        <v>41425</v>
      </c>
      <c r="B1533" s="121">
        <v>0.76525462962962953</v>
      </c>
      <c r="C1533" s="26" t="s">
        <v>1260</v>
      </c>
    </row>
    <row r="1534" spans="1:3" x14ac:dyDescent="0.25">
      <c r="A1534" s="36">
        <v>41425</v>
      </c>
      <c r="B1534" s="121">
        <v>0.76525462962962953</v>
      </c>
      <c r="C1534" s="26" t="s">
        <v>1267</v>
      </c>
    </row>
    <row r="1535" spans="1:3" x14ac:dyDescent="0.25">
      <c r="A1535" s="36">
        <v>41425</v>
      </c>
      <c r="B1535" s="121">
        <v>0.76525462962962953</v>
      </c>
      <c r="C1535" s="26" t="s">
        <v>1268</v>
      </c>
    </row>
    <row r="1536" spans="1:3" x14ac:dyDescent="0.25">
      <c r="A1536" s="36">
        <v>41425</v>
      </c>
      <c r="B1536" s="121">
        <v>0.76525462962962953</v>
      </c>
      <c r="C1536" s="26" t="s">
        <v>1269</v>
      </c>
    </row>
    <row r="1537" spans="1:3" x14ac:dyDescent="0.25">
      <c r="A1537" s="36">
        <v>41425</v>
      </c>
      <c r="B1537" s="121">
        <v>0.76525462962962953</v>
      </c>
      <c r="C1537" s="26" t="s">
        <v>1270</v>
      </c>
    </row>
    <row r="1538" spans="1:3" x14ac:dyDescent="0.25">
      <c r="A1538" s="36">
        <v>41425</v>
      </c>
      <c r="B1538" s="121">
        <v>0.76525462962962953</v>
      </c>
      <c r="C1538" s="26" t="s">
        <v>1271</v>
      </c>
    </row>
    <row r="1539" spans="1:3" x14ac:dyDescent="0.25">
      <c r="A1539" s="36">
        <v>41425</v>
      </c>
      <c r="B1539" s="121">
        <v>0.76525462962962953</v>
      </c>
      <c r="C1539" s="26" t="s">
        <v>1272</v>
      </c>
    </row>
    <row r="1540" spans="1:3" x14ac:dyDescent="0.25">
      <c r="A1540" s="36">
        <v>41425</v>
      </c>
      <c r="B1540" s="121">
        <v>0.76525462962962953</v>
      </c>
      <c r="C1540" s="26" t="s">
        <v>1273</v>
      </c>
    </row>
    <row r="1541" spans="1:3" x14ac:dyDescent="0.25">
      <c r="A1541" s="36">
        <v>41425</v>
      </c>
      <c r="B1541" s="121">
        <v>0.76525462962962953</v>
      </c>
      <c r="C1541" s="26" t="s">
        <v>1274</v>
      </c>
    </row>
    <row r="1542" spans="1:3" x14ac:dyDescent="0.25">
      <c r="A1542" s="36">
        <v>41425</v>
      </c>
      <c r="B1542" s="121">
        <v>0.76525462962962953</v>
      </c>
      <c r="C1542" s="26" t="s">
        <v>1275</v>
      </c>
    </row>
    <row r="1543" spans="1:3" x14ac:dyDescent="0.25">
      <c r="A1543" s="36">
        <v>41425</v>
      </c>
      <c r="B1543" s="121">
        <v>0.76525462962962953</v>
      </c>
      <c r="C1543" s="26" t="s">
        <v>1276</v>
      </c>
    </row>
    <row r="1544" spans="1:3" x14ac:dyDescent="0.25">
      <c r="A1544" s="36">
        <v>41425</v>
      </c>
      <c r="B1544" s="121">
        <v>0.76525462962962953</v>
      </c>
      <c r="C1544" s="26" t="s">
        <v>1277</v>
      </c>
    </row>
    <row r="1545" spans="1:3" x14ac:dyDescent="0.25">
      <c r="A1545" s="36">
        <v>41425</v>
      </c>
      <c r="B1545" s="121">
        <v>0.76525462962962953</v>
      </c>
      <c r="C1545" s="26" t="s">
        <v>1260</v>
      </c>
    </row>
    <row r="1546" spans="1:3" x14ac:dyDescent="0.25">
      <c r="A1546" s="36">
        <v>41425</v>
      </c>
      <c r="B1546" s="121">
        <v>0.76525462962962953</v>
      </c>
      <c r="C1546" s="26" t="s">
        <v>1277</v>
      </c>
    </row>
    <row r="1547" spans="1:3" x14ac:dyDescent="0.25">
      <c r="A1547" s="36">
        <v>41425</v>
      </c>
      <c r="B1547" s="121">
        <v>0.76525462962962953</v>
      </c>
      <c r="C1547" s="26" t="s">
        <v>1278</v>
      </c>
    </row>
    <row r="1548" spans="1:3" x14ac:dyDescent="0.25">
      <c r="A1548" s="36">
        <v>41425</v>
      </c>
      <c r="B1548" s="121">
        <v>0.76525462962962953</v>
      </c>
      <c r="C1548" s="26" t="s">
        <v>1277</v>
      </c>
    </row>
    <row r="1549" spans="1:3" x14ac:dyDescent="0.25">
      <c r="A1549" s="36">
        <v>41425</v>
      </c>
      <c r="B1549" s="121">
        <v>0.76525462962962953</v>
      </c>
      <c r="C1549" s="26" t="s">
        <v>1277</v>
      </c>
    </row>
    <row r="1550" spans="1:3" x14ac:dyDescent="0.25">
      <c r="A1550" s="36">
        <v>41425</v>
      </c>
      <c r="B1550" s="121">
        <v>0.76525462962962953</v>
      </c>
      <c r="C1550" s="26" t="s">
        <v>1281</v>
      </c>
    </row>
    <row r="1551" spans="1:3" x14ac:dyDescent="0.25">
      <c r="A1551" s="36">
        <v>41425</v>
      </c>
      <c r="B1551" s="121">
        <v>0.76525462962962953</v>
      </c>
      <c r="C1551" s="26" t="s">
        <v>1282</v>
      </c>
    </row>
    <row r="1552" spans="1:3" x14ac:dyDescent="0.25">
      <c r="A1552" s="36">
        <v>41425</v>
      </c>
      <c r="B1552" s="121">
        <v>0.76525462962962953</v>
      </c>
      <c r="C1552" s="26" t="s">
        <v>1283</v>
      </c>
    </row>
    <row r="1553" spans="1:3" x14ac:dyDescent="0.25">
      <c r="A1553" s="36">
        <v>41425</v>
      </c>
      <c r="B1553" s="121">
        <v>0.76525462962962953</v>
      </c>
      <c r="C1553" s="26" t="s">
        <v>1284</v>
      </c>
    </row>
    <row r="1554" spans="1:3" x14ac:dyDescent="0.25">
      <c r="A1554" s="36">
        <v>41425</v>
      </c>
      <c r="B1554" s="121">
        <v>0.76525462962962953</v>
      </c>
      <c r="C1554" s="26" t="s">
        <v>1284</v>
      </c>
    </row>
    <row r="1555" spans="1:3" x14ac:dyDescent="0.25">
      <c r="A1555" s="36">
        <v>41425</v>
      </c>
      <c r="B1555" s="121">
        <v>0.76525462962962953</v>
      </c>
      <c r="C1555" s="26" t="s">
        <v>1285</v>
      </c>
    </row>
    <row r="1556" spans="1:3" x14ac:dyDescent="0.25">
      <c r="A1556" s="36">
        <v>41425</v>
      </c>
      <c r="B1556" s="121">
        <v>0.76525462962962953</v>
      </c>
      <c r="C1556" s="26" t="s">
        <v>1286</v>
      </c>
    </row>
    <row r="1557" spans="1:3" x14ac:dyDescent="0.25">
      <c r="A1557" s="36">
        <v>41425</v>
      </c>
      <c r="B1557" s="121">
        <v>0.76525462962962953</v>
      </c>
      <c r="C1557" s="26" t="s">
        <v>1287</v>
      </c>
    </row>
    <row r="1558" spans="1:3" x14ac:dyDescent="0.25">
      <c r="A1558" s="36">
        <v>41425</v>
      </c>
      <c r="B1558" s="121">
        <v>0.76525462962962953</v>
      </c>
      <c r="C1558" s="26" t="s">
        <v>1288</v>
      </c>
    </row>
    <row r="1559" spans="1:3" x14ac:dyDescent="0.25">
      <c r="A1559" s="36">
        <v>41425</v>
      </c>
      <c r="B1559" s="121">
        <v>0.76525462962962953</v>
      </c>
      <c r="C1559" s="26" t="s">
        <v>1289</v>
      </c>
    </row>
    <row r="1560" spans="1:3" x14ac:dyDescent="0.25">
      <c r="A1560" s="36">
        <v>41425</v>
      </c>
      <c r="B1560" s="121">
        <v>0.76525462962962953</v>
      </c>
      <c r="C1560" s="26" t="s">
        <v>1263</v>
      </c>
    </row>
    <row r="1561" spans="1:3" x14ac:dyDescent="0.25">
      <c r="A1561" s="36">
        <v>41425</v>
      </c>
      <c r="B1561" s="121">
        <v>0.76525462962962953</v>
      </c>
      <c r="C1561" s="26" t="s">
        <v>1290</v>
      </c>
    </row>
    <row r="1562" spans="1:3" x14ac:dyDescent="0.25">
      <c r="A1562" s="36">
        <v>41425</v>
      </c>
      <c r="B1562" s="121">
        <v>0.76525462962962953</v>
      </c>
      <c r="C1562" s="26" t="s">
        <v>1291</v>
      </c>
    </row>
    <row r="1563" spans="1:3" x14ac:dyDescent="0.25">
      <c r="A1563" s="36">
        <v>41425</v>
      </c>
      <c r="B1563" s="121">
        <v>0.76525462962962953</v>
      </c>
      <c r="C1563" s="26" t="s">
        <v>1293</v>
      </c>
    </row>
    <row r="1564" spans="1:3" x14ac:dyDescent="0.25">
      <c r="A1564" s="36">
        <v>41425</v>
      </c>
      <c r="B1564" s="121">
        <v>0.76525462962962953</v>
      </c>
      <c r="C1564" s="26" t="s">
        <v>1294</v>
      </c>
    </row>
    <row r="1565" spans="1:3" x14ac:dyDescent="0.25">
      <c r="A1565" s="36">
        <v>41425</v>
      </c>
      <c r="B1565" s="121">
        <v>0.76525462962962953</v>
      </c>
      <c r="C1565" s="26" t="s">
        <v>1295</v>
      </c>
    </row>
    <row r="1566" spans="1:3" x14ac:dyDescent="0.25">
      <c r="A1566" s="36">
        <v>41425</v>
      </c>
      <c r="B1566" s="121">
        <v>0.76525462962962953</v>
      </c>
      <c r="C1566" s="26" t="s">
        <v>1299</v>
      </c>
    </row>
    <row r="1567" spans="1:3" x14ac:dyDescent="0.25">
      <c r="A1567" s="36">
        <v>41425</v>
      </c>
      <c r="B1567" s="121">
        <v>0.76525462962962953</v>
      </c>
      <c r="C1567" s="26" t="s">
        <v>1267</v>
      </c>
    </row>
    <row r="1568" spans="1:3" x14ac:dyDescent="0.25">
      <c r="A1568" s="36">
        <v>41425</v>
      </c>
      <c r="B1568" s="121">
        <v>0.76525462962962953</v>
      </c>
      <c r="C1568" s="26" t="s">
        <v>1301</v>
      </c>
    </row>
    <row r="1569" spans="1:3" x14ac:dyDescent="0.25">
      <c r="A1569" s="36">
        <v>41425</v>
      </c>
      <c r="B1569" s="121">
        <v>0.76525462962962953</v>
      </c>
      <c r="C1569" s="26" t="s">
        <v>1302</v>
      </c>
    </row>
    <row r="1570" spans="1:3" x14ac:dyDescent="0.25">
      <c r="A1570" s="36">
        <v>41425</v>
      </c>
      <c r="B1570" s="121">
        <v>0.76525462962962953</v>
      </c>
      <c r="C1570" s="26" t="s">
        <v>1303</v>
      </c>
    </row>
    <row r="1571" spans="1:3" x14ac:dyDescent="0.25">
      <c r="A1571" s="36">
        <v>41425</v>
      </c>
      <c r="B1571" s="121">
        <v>0.76525462962962953</v>
      </c>
      <c r="C1571" s="26" t="s">
        <v>1304</v>
      </c>
    </row>
    <row r="1572" spans="1:3" x14ac:dyDescent="0.25">
      <c r="A1572" s="36">
        <v>41425</v>
      </c>
      <c r="B1572" s="121">
        <v>0.76525462962962953</v>
      </c>
      <c r="C1572" s="26" t="s">
        <v>1252</v>
      </c>
    </row>
    <row r="1573" spans="1:3" x14ac:dyDescent="0.25">
      <c r="A1573" s="36">
        <v>41425</v>
      </c>
      <c r="B1573" s="121">
        <v>0.76525462962962953</v>
      </c>
      <c r="C1573" s="26" t="s">
        <v>1305</v>
      </c>
    </row>
    <row r="1574" spans="1:3" x14ac:dyDescent="0.25">
      <c r="A1574" s="36">
        <v>41425</v>
      </c>
      <c r="B1574" s="121">
        <v>0.76525462962962953</v>
      </c>
      <c r="C1574" s="26" t="s">
        <v>1306</v>
      </c>
    </row>
    <row r="1575" spans="1:3" x14ac:dyDescent="0.25">
      <c r="A1575" s="36">
        <v>41425</v>
      </c>
      <c r="B1575" s="121">
        <v>0.76525462962962953</v>
      </c>
      <c r="C1575" s="26" t="s">
        <v>1290</v>
      </c>
    </row>
    <row r="1576" spans="1:3" x14ac:dyDescent="0.25">
      <c r="A1576" s="36">
        <v>41425</v>
      </c>
      <c r="B1576" s="121">
        <v>0.76525462962962953</v>
      </c>
      <c r="C1576" s="26" t="s">
        <v>1308</v>
      </c>
    </row>
    <row r="1577" spans="1:3" x14ac:dyDescent="0.25">
      <c r="A1577" s="36">
        <v>41425</v>
      </c>
      <c r="B1577" s="121">
        <v>0.76525462962962953</v>
      </c>
      <c r="C1577" s="26" t="s">
        <v>1308</v>
      </c>
    </row>
    <row r="1578" spans="1:3" x14ac:dyDescent="0.25">
      <c r="A1578" s="36">
        <v>41425</v>
      </c>
      <c r="B1578" s="121">
        <v>0.76525462962962953</v>
      </c>
      <c r="C1578" s="26" t="s">
        <v>1309</v>
      </c>
    </row>
    <row r="1579" spans="1:3" x14ac:dyDescent="0.25">
      <c r="A1579" s="36">
        <v>41425</v>
      </c>
      <c r="B1579" s="121">
        <v>0.76525462962962953</v>
      </c>
      <c r="C1579" s="26" t="s">
        <v>1303</v>
      </c>
    </row>
    <row r="1580" spans="1:3" x14ac:dyDescent="0.25">
      <c r="A1580" s="36">
        <v>41425</v>
      </c>
      <c r="B1580" s="121">
        <v>0.76525462962962953</v>
      </c>
      <c r="C1580" s="26" t="s">
        <v>1310</v>
      </c>
    </row>
    <row r="1581" spans="1:3" x14ac:dyDescent="0.25">
      <c r="A1581" s="36">
        <v>41425</v>
      </c>
      <c r="B1581" s="121">
        <v>0.76525462962962953</v>
      </c>
      <c r="C1581" s="26" t="s">
        <v>1311</v>
      </c>
    </row>
    <row r="1582" spans="1:3" x14ac:dyDescent="0.25">
      <c r="A1582" s="36">
        <v>41425</v>
      </c>
      <c r="B1582" s="121">
        <v>0.76525462962962953</v>
      </c>
      <c r="C1582" s="26" t="s">
        <v>1312</v>
      </c>
    </row>
    <row r="1583" spans="1:3" x14ac:dyDescent="0.25">
      <c r="A1583" s="36">
        <v>41425</v>
      </c>
      <c r="B1583" s="121">
        <v>0.76525462962962953</v>
      </c>
      <c r="C1583" s="26" t="s">
        <v>1273</v>
      </c>
    </row>
    <row r="1584" spans="1:3" x14ac:dyDescent="0.25">
      <c r="A1584" s="36">
        <v>41425</v>
      </c>
      <c r="B1584" s="121">
        <v>0.76525462962962953</v>
      </c>
      <c r="C1584" s="26" t="s">
        <v>1313</v>
      </c>
    </row>
    <row r="1585" spans="1:3" x14ac:dyDescent="0.25">
      <c r="A1585" s="36">
        <v>41425</v>
      </c>
      <c r="B1585" s="121">
        <v>0.76525462962962953</v>
      </c>
      <c r="C1585" s="26" t="s">
        <v>1314</v>
      </c>
    </row>
    <row r="1586" spans="1:3" x14ac:dyDescent="0.25">
      <c r="A1586" s="36">
        <v>41425</v>
      </c>
      <c r="B1586" s="121">
        <v>0.76525462962962953</v>
      </c>
      <c r="C1586" s="26" t="s">
        <v>1315</v>
      </c>
    </row>
    <row r="1587" spans="1:3" x14ac:dyDescent="0.25">
      <c r="A1587" s="36">
        <v>41425</v>
      </c>
      <c r="B1587" s="121">
        <v>0.76525462962962953</v>
      </c>
      <c r="C1587" s="26" t="s">
        <v>1310</v>
      </c>
    </row>
    <row r="1588" spans="1:3" x14ac:dyDescent="0.25">
      <c r="A1588" s="36">
        <v>41425</v>
      </c>
      <c r="B1588" s="121">
        <v>0.76525462962962953</v>
      </c>
      <c r="C1588" s="26" t="s">
        <v>1316</v>
      </c>
    </row>
    <row r="1589" spans="1:3" x14ac:dyDescent="0.25">
      <c r="A1589" s="36">
        <v>41425</v>
      </c>
      <c r="B1589" s="121">
        <v>0.76525462962962953</v>
      </c>
      <c r="C1589" s="26" t="s">
        <v>1317</v>
      </c>
    </row>
    <row r="1590" spans="1:3" x14ac:dyDescent="0.25">
      <c r="A1590" s="36">
        <v>41425</v>
      </c>
      <c r="B1590" s="121">
        <v>0.76525462962962953</v>
      </c>
      <c r="C1590" s="26" t="s">
        <v>1254</v>
      </c>
    </row>
    <row r="1591" spans="1:3" x14ac:dyDescent="0.25">
      <c r="A1591" s="36">
        <v>41425</v>
      </c>
      <c r="B1591" s="121">
        <v>0.76525462962962953</v>
      </c>
      <c r="C1591" s="26" t="s">
        <v>1254</v>
      </c>
    </row>
    <row r="1592" spans="1:3" x14ac:dyDescent="0.25">
      <c r="A1592" s="36">
        <v>41425</v>
      </c>
      <c r="B1592" s="121">
        <v>0.76525462962962953</v>
      </c>
      <c r="C1592" s="26" t="s">
        <v>1254</v>
      </c>
    </row>
    <row r="1593" spans="1:3" x14ac:dyDescent="0.25">
      <c r="A1593" s="36">
        <v>41425</v>
      </c>
      <c r="B1593" s="121">
        <v>0.76525462962962953</v>
      </c>
      <c r="C1593" s="26" t="s">
        <v>1318</v>
      </c>
    </row>
    <row r="1594" spans="1:3" x14ac:dyDescent="0.25">
      <c r="A1594" s="36">
        <v>41425</v>
      </c>
      <c r="B1594" s="121">
        <v>0.76525462962962953</v>
      </c>
      <c r="C1594" s="26" t="s">
        <v>1319</v>
      </c>
    </row>
    <row r="1595" spans="1:3" x14ac:dyDescent="0.25">
      <c r="A1595" s="36">
        <v>41425</v>
      </c>
      <c r="B1595" s="121">
        <v>0.76525462962962953</v>
      </c>
      <c r="C1595" s="26" t="s">
        <v>1265</v>
      </c>
    </row>
    <row r="1596" spans="1:3" x14ac:dyDescent="0.25">
      <c r="A1596" s="36">
        <v>41425</v>
      </c>
      <c r="B1596" s="121">
        <v>0.76525462962962953</v>
      </c>
      <c r="C1596" s="26" t="s">
        <v>1322</v>
      </c>
    </row>
    <row r="1597" spans="1:3" x14ac:dyDescent="0.25">
      <c r="A1597" s="36">
        <v>41425</v>
      </c>
      <c r="B1597" s="121">
        <v>0.76525462962962953</v>
      </c>
      <c r="C1597" s="26" t="s">
        <v>1323</v>
      </c>
    </row>
    <row r="1598" spans="1:3" x14ac:dyDescent="0.25">
      <c r="A1598" s="36">
        <v>41425</v>
      </c>
      <c r="B1598" s="121">
        <v>0.76525462962962953</v>
      </c>
      <c r="C1598" s="26" t="s">
        <v>1267</v>
      </c>
    </row>
    <row r="1599" spans="1:3" x14ac:dyDescent="0.25">
      <c r="A1599" s="36">
        <v>41425</v>
      </c>
      <c r="B1599" s="121">
        <v>0.76525462962962953</v>
      </c>
      <c r="C1599" s="26" t="s">
        <v>1324</v>
      </c>
    </row>
    <row r="1600" spans="1:3" x14ac:dyDescent="0.25">
      <c r="A1600" s="36">
        <v>41425</v>
      </c>
      <c r="B1600" s="121">
        <v>0.76525462962962953</v>
      </c>
      <c r="C1600" s="26" t="s">
        <v>1325</v>
      </c>
    </row>
    <row r="1601" spans="1:3" x14ac:dyDescent="0.25">
      <c r="A1601" s="36">
        <v>41425</v>
      </c>
      <c r="B1601" s="121">
        <v>0.76525462962962953</v>
      </c>
      <c r="C1601" s="26" t="s">
        <v>1326</v>
      </c>
    </row>
    <row r="1602" spans="1:3" x14ac:dyDescent="0.25">
      <c r="A1602" s="36">
        <v>41425</v>
      </c>
      <c r="B1602" s="121">
        <v>0.76525462962962953</v>
      </c>
      <c r="C1602" s="26" t="s">
        <v>1327</v>
      </c>
    </row>
    <row r="1603" spans="1:3" x14ac:dyDescent="0.25">
      <c r="A1603" s="36">
        <v>41425</v>
      </c>
      <c r="B1603" s="121">
        <v>0.76525462962962953</v>
      </c>
      <c r="C1603" s="26" t="s">
        <v>1328</v>
      </c>
    </row>
    <row r="1604" spans="1:3" x14ac:dyDescent="0.25">
      <c r="A1604" s="36">
        <v>41425</v>
      </c>
      <c r="B1604" s="121">
        <v>0.76525462962962953</v>
      </c>
      <c r="C1604" s="26" t="s">
        <v>1329</v>
      </c>
    </row>
    <row r="1605" spans="1:3" x14ac:dyDescent="0.25">
      <c r="A1605" s="36">
        <v>41425</v>
      </c>
      <c r="B1605" s="121">
        <v>0.76525462962962953</v>
      </c>
      <c r="C1605" s="26" t="s">
        <v>1329</v>
      </c>
    </row>
    <row r="1606" spans="1:3" x14ac:dyDescent="0.25">
      <c r="A1606" s="36">
        <v>41425</v>
      </c>
      <c r="B1606" s="121">
        <v>0.76525462962962953</v>
      </c>
      <c r="C1606" s="26" t="s">
        <v>1330</v>
      </c>
    </row>
    <row r="1607" spans="1:3" x14ac:dyDescent="0.25">
      <c r="A1607" s="36">
        <v>41425</v>
      </c>
      <c r="B1607" s="121">
        <v>0.76525462962962953</v>
      </c>
      <c r="C1607" s="26" t="s">
        <v>1262</v>
      </c>
    </row>
    <row r="1608" spans="1:3" x14ac:dyDescent="0.25">
      <c r="A1608" s="36">
        <v>41425</v>
      </c>
      <c r="B1608" s="121">
        <v>0.76525462962962953</v>
      </c>
      <c r="C1608" s="26" t="s">
        <v>1331</v>
      </c>
    </row>
    <row r="1609" spans="1:3" x14ac:dyDescent="0.25">
      <c r="A1609" s="36">
        <v>41425</v>
      </c>
      <c r="B1609" s="121">
        <v>0.76525462962962953</v>
      </c>
      <c r="C1609" s="26" t="s">
        <v>1332</v>
      </c>
    </row>
    <row r="1610" spans="1:3" x14ac:dyDescent="0.25">
      <c r="A1610" s="36">
        <v>41425</v>
      </c>
      <c r="B1610" s="121">
        <v>0.76525462962962953</v>
      </c>
      <c r="C1610" s="26" t="s">
        <v>1332</v>
      </c>
    </row>
    <row r="1611" spans="1:3" x14ac:dyDescent="0.25">
      <c r="A1611" s="36">
        <v>41425</v>
      </c>
      <c r="B1611" s="121">
        <v>0.76525462962962953</v>
      </c>
      <c r="C1611" s="26" t="s">
        <v>1333</v>
      </c>
    </row>
    <row r="1612" spans="1:3" x14ac:dyDescent="0.25">
      <c r="A1612" s="36">
        <v>41425</v>
      </c>
      <c r="B1612" s="121">
        <v>0.76525462962962953</v>
      </c>
      <c r="C1612" s="26" t="s">
        <v>1334</v>
      </c>
    </row>
    <row r="1613" spans="1:3" x14ac:dyDescent="0.25">
      <c r="A1613" s="36">
        <v>41425</v>
      </c>
      <c r="B1613" s="121">
        <v>0.76525462962962953</v>
      </c>
      <c r="C1613" s="26" t="s">
        <v>1336</v>
      </c>
    </row>
    <row r="1614" spans="1:3" x14ac:dyDescent="0.25">
      <c r="A1614" s="36">
        <v>41425</v>
      </c>
      <c r="B1614" s="121">
        <v>0.76525462962962953</v>
      </c>
      <c r="C1614" s="26" t="s">
        <v>1338</v>
      </c>
    </row>
    <row r="1615" spans="1:3" x14ac:dyDescent="0.25">
      <c r="A1615" s="36">
        <v>41425</v>
      </c>
      <c r="B1615" s="121">
        <v>0.76525462962962953</v>
      </c>
      <c r="C1615" s="26" t="s">
        <v>1339</v>
      </c>
    </row>
    <row r="1616" spans="1:3" x14ac:dyDescent="0.25">
      <c r="A1616" s="36">
        <v>41425</v>
      </c>
      <c r="B1616" s="121">
        <v>0.76525462962962953</v>
      </c>
      <c r="C1616" s="26" t="s">
        <v>1340</v>
      </c>
    </row>
    <row r="1617" spans="1:3" x14ac:dyDescent="0.25">
      <c r="A1617" s="36">
        <v>41425</v>
      </c>
      <c r="B1617" s="121">
        <v>0.76525462962962953</v>
      </c>
      <c r="C1617" s="26" t="s">
        <v>1340</v>
      </c>
    </row>
    <row r="1618" spans="1:3" x14ac:dyDescent="0.25">
      <c r="A1618" s="36">
        <v>41425</v>
      </c>
      <c r="B1618" s="121">
        <v>0.76525462962962953</v>
      </c>
      <c r="C1618" s="26" t="s">
        <v>1265</v>
      </c>
    </row>
    <row r="1619" spans="1:3" x14ac:dyDescent="0.25">
      <c r="A1619" s="36">
        <v>41425</v>
      </c>
      <c r="B1619" s="121">
        <v>0.76525462962962953</v>
      </c>
      <c r="C1619" s="26" t="s">
        <v>1338</v>
      </c>
    </row>
    <row r="1620" spans="1:3" x14ac:dyDescent="0.25">
      <c r="A1620" s="36">
        <v>41425</v>
      </c>
      <c r="B1620" s="121">
        <v>0.76525462962962953</v>
      </c>
      <c r="C1620" s="26" t="s">
        <v>1252</v>
      </c>
    </row>
    <row r="1621" spans="1:3" x14ac:dyDescent="0.25">
      <c r="A1621" s="36">
        <v>41425</v>
      </c>
      <c r="B1621" s="121">
        <v>0.76525462962962953</v>
      </c>
      <c r="C1621" s="26" t="s">
        <v>1341</v>
      </c>
    </row>
    <row r="1622" spans="1:3" x14ac:dyDescent="0.25">
      <c r="A1622" s="36">
        <v>41425</v>
      </c>
      <c r="B1622" s="121">
        <v>0.76525462962962953</v>
      </c>
      <c r="C1622" s="26" t="s">
        <v>1342</v>
      </c>
    </row>
    <row r="1623" spans="1:3" x14ac:dyDescent="0.25">
      <c r="A1623" s="36">
        <v>41425</v>
      </c>
      <c r="B1623" s="121">
        <v>0.76525462962962953</v>
      </c>
      <c r="C1623" s="26" t="s">
        <v>1343</v>
      </c>
    </row>
    <row r="1624" spans="1:3" x14ac:dyDescent="0.25">
      <c r="A1624" s="36">
        <v>41425</v>
      </c>
      <c r="B1624" s="121">
        <v>0.76525462962962953</v>
      </c>
      <c r="C1624" s="26" t="s">
        <v>1344</v>
      </c>
    </row>
    <row r="1625" spans="1:3" x14ac:dyDescent="0.25">
      <c r="A1625" s="36">
        <v>41425</v>
      </c>
      <c r="B1625" s="121">
        <v>0.76525462962962953</v>
      </c>
      <c r="C1625" s="26" t="s">
        <v>1345</v>
      </c>
    </row>
    <row r="1626" spans="1:3" x14ac:dyDescent="0.25">
      <c r="A1626" s="36">
        <v>41425</v>
      </c>
      <c r="B1626" s="121">
        <v>0.76525462962962953</v>
      </c>
      <c r="C1626" s="26" t="s">
        <v>1332</v>
      </c>
    </row>
    <row r="1627" spans="1:3" x14ac:dyDescent="0.25">
      <c r="A1627" s="36">
        <v>41425</v>
      </c>
      <c r="B1627" s="121">
        <v>0.76526620370370368</v>
      </c>
      <c r="C1627" s="26" t="s">
        <v>1346</v>
      </c>
    </row>
    <row r="1628" spans="1:3" x14ac:dyDescent="0.25">
      <c r="A1628" s="36">
        <v>41425</v>
      </c>
      <c r="B1628" s="121">
        <v>0.76526620370370368</v>
      </c>
      <c r="C1628" s="26" t="s">
        <v>1315</v>
      </c>
    </row>
    <row r="1629" spans="1:3" x14ac:dyDescent="0.25">
      <c r="A1629" s="36">
        <v>41425</v>
      </c>
      <c r="B1629" s="121">
        <v>0.76526620370370368</v>
      </c>
      <c r="C1629" s="26" t="s">
        <v>1348</v>
      </c>
    </row>
    <row r="1630" spans="1:3" x14ac:dyDescent="0.25">
      <c r="A1630" s="36">
        <v>41425</v>
      </c>
      <c r="B1630" s="121">
        <v>0.76526620370370368</v>
      </c>
      <c r="C1630" s="26" t="s">
        <v>1314</v>
      </c>
    </row>
    <row r="1631" spans="1:3" x14ac:dyDescent="0.25">
      <c r="A1631" s="36">
        <v>41425</v>
      </c>
      <c r="B1631" s="121">
        <v>0.76526620370370368</v>
      </c>
      <c r="C1631" s="26" t="s">
        <v>1349</v>
      </c>
    </row>
    <row r="1632" spans="1:3" x14ac:dyDescent="0.25">
      <c r="A1632" s="36">
        <v>41425</v>
      </c>
      <c r="B1632" s="121">
        <v>0.76526620370370368</v>
      </c>
      <c r="C1632" s="26" t="s">
        <v>1351</v>
      </c>
    </row>
    <row r="1633" spans="1:3" x14ac:dyDescent="0.25">
      <c r="A1633" s="36">
        <v>41425</v>
      </c>
      <c r="B1633" s="121">
        <v>0.76526620370370368</v>
      </c>
      <c r="C1633" s="26" t="s">
        <v>1352</v>
      </c>
    </row>
    <row r="1634" spans="1:3" x14ac:dyDescent="0.25">
      <c r="A1634" s="36">
        <v>41425</v>
      </c>
      <c r="B1634" s="121">
        <v>0.76526620370370368</v>
      </c>
      <c r="C1634" s="26" t="s">
        <v>1354</v>
      </c>
    </row>
    <row r="1635" spans="1:3" x14ac:dyDescent="0.25">
      <c r="A1635" s="36">
        <v>41425</v>
      </c>
      <c r="B1635" s="121">
        <v>0.76526620370370368</v>
      </c>
      <c r="C1635" s="26" t="s">
        <v>1341</v>
      </c>
    </row>
    <row r="1636" spans="1:3" x14ac:dyDescent="0.25">
      <c r="A1636" s="36">
        <v>41425</v>
      </c>
      <c r="B1636" s="121">
        <v>0.76526620370370368</v>
      </c>
      <c r="C1636" s="26" t="s">
        <v>1486</v>
      </c>
    </row>
    <row r="1637" spans="1:3" x14ac:dyDescent="0.25">
      <c r="A1637" s="36">
        <v>41425</v>
      </c>
      <c r="B1637" s="121">
        <v>0.76526620370370368</v>
      </c>
      <c r="C1637" s="26" t="s">
        <v>1487</v>
      </c>
    </row>
    <row r="1638" spans="1:3" x14ac:dyDescent="0.25">
      <c r="A1638" s="36">
        <v>41425</v>
      </c>
      <c r="B1638" s="121">
        <v>0.76526620370370368</v>
      </c>
      <c r="C1638" s="26" t="s">
        <v>1259</v>
      </c>
    </row>
    <row r="1639" spans="1:3" x14ac:dyDescent="0.25">
      <c r="A1639" s="36">
        <v>41425</v>
      </c>
      <c r="B1639" s="121">
        <v>0.76526620370370368</v>
      </c>
      <c r="C1639" s="26" t="s">
        <v>1488</v>
      </c>
    </row>
    <row r="1640" spans="1:3" x14ac:dyDescent="0.25">
      <c r="A1640" s="36">
        <v>41425</v>
      </c>
      <c r="B1640" s="121">
        <v>0.76526620370370368</v>
      </c>
      <c r="C1640" s="26" t="s">
        <v>1557</v>
      </c>
    </row>
    <row r="1641" spans="1:3" x14ac:dyDescent="0.25">
      <c r="A1641" s="36">
        <v>41425</v>
      </c>
      <c r="B1641" s="121">
        <v>0.76526620370370368</v>
      </c>
      <c r="C1641" s="26" t="s">
        <v>1558</v>
      </c>
    </row>
    <row r="1642" spans="1:3" x14ac:dyDescent="0.25">
      <c r="A1642" s="36">
        <v>41425</v>
      </c>
      <c r="B1642" s="121">
        <v>0.76526620370370368</v>
      </c>
      <c r="C1642" s="26" t="s">
        <v>1559</v>
      </c>
    </row>
    <row r="1643" spans="1:3" x14ac:dyDescent="0.25">
      <c r="A1643" s="36">
        <v>41425</v>
      </c>
      <c r="B1643" s="121">
        <v>0.76526620370370368</v>
      </c>
      <c r="C1643" s="26" t="s">
        <v>1560</v>
      </c>
    </row>
    <row r="1644" spans="1:3" x14ac:dyDescent="0.25">
      <c r="A1644" s="36">
        <v>41425</v>
      </c>
      <c r="B1644" s="121">
        <v>0.76526620370370368</v>
      </c>
      <c r="C1644" s="26" t="s">
        <v>1561</v>
      </c>
    </row>
    <row r="1645" spans="1:3" x14ac:dyDescent="0.25">
      <c r="A1645" s="36">
        <v>41425</v>
      </c>
      <c r="B1645" s="121">
        <v>0.76526620370370368</v>
      </c>
      <c r="C1645" s="26" t="s">
        <v>1342</v>
      </c>
    </row>
    <row r="1646" spans="1:3" x14ac:dyDescent="0.25">
      <c r="A1646" s="36">
        <v>41425</v>
      </c>
      <c r="B1646" s="121">
        <v>0.76526620370370368</v>
      </c>
      <c r="C1646" s="26" t="s">
        <v>1562</v>
      </c>
    </row>
    <row r="1647" spans="1:3" x14ac:dyDescent="0.25">
      <c r="A1647" s="36">
        <v>41425</v>
      </c>
      <c r="B1647" s="121">
        <v>0.76526620370370368</v>
      </c>
      <c r="C1647" s="26" t="s">
        <v>1563</v>
      </c>
    </row>
    <row r="1648" spans="1:3" x14ac:dyDescent="0.25">
      <c r="A1648" s="36">
        <v>41425</v>
      </c>
      <c r="B1648" s="121">
        <v>0.76526620370370368</v>
      </c>
      <c r="C1648" s="26" t="s">
        <v>1564</v>
      </c>
    </row>
    <row r="1649" spans="1:3" x14ac:dyDescent="0.25">
      <c r="A1649" s="36">
        <v>41425</v>
      </c>
      <c r="B1649" s="121">
        <v>0.78355324074074073</v>
      </c>
      <c r="C1649" s="26" t="s">
        <v>1565</v>
      </c>
    </row>
    <row r="1650" spans="1:3" ht="30" x14ac:dyDescent="0.25">
      <c r="A1650" s="36">
        <v>41425</v>
      </c>
      <c r="B1650" s="121">
        <v>0.78383101851851855</v>
      </c>
      <c r="C1650" s="831" t="s">
        <v>1566</v>
      </c>
    </row>
    <row r="1651" spans="1:3" ht="45" x14ac:dyDescent="0.25">
      <c r="A1651" s="36">
        <v>41425</v>
      </c>
      <c r="B1651" s="121">
        <v>0.78497685185185195</v>
      </c>
      <c r="C1651" s="831" t="s">
        <v>1567</v>
      </c>
    </row>
    <row r="1652" spans="1:3" x14ac:dyDescent="0.25">
      <c r="A1652" s="36">
        <v>41425</v>
      </c>
      <c r="B1652" s="121">
        <v>0.9029166666666667</v>
      </c>
      <c r="C1652" s="26" t="s">
        <v>1568</v>
      </c>
    </row>
    <row r="1653" spans="1:3" ht="30" x14ac:dyDescent="0.25">
      <c r="A1653" s="36">
        <v>41425</v>
      </c>
      <c r="B1653" s="121">
        <v>0.90325231481481483</v>
      </c>
      <c r="C1653" s="831" t="s">
        <v>1569</v>
      </c>
    </row>
    <row r="1654" spans="1:3" ht="45" x14ac:dyDescent="0.25">
      <c r="A1654" s="36">
        <v>41425</v>
      </c>
      <c r="B1654" s="121">
        <v>0.90462962962962967</v>
      </c>
      <c r="C1654" s="831" t="s">
        <v>1570</v>
      </c>
    </row>
    <row r="1655" spans="1:3" x14ac:dyDescent="0.25">
      <c r="A1655" s="36">
        <v>41429</v>
      </c>
      <c r="B1655" s="121">
        <v>0.60853009259259261</v>
      </c>
      <c r="C1655" s="26" t="s">
        <v>1571</v>
      </c>
    </row>
    <row r="1656" spans="1:3" ht="45" x14ac:dyDescent="0.25">
      <c r="A1656" s="36">
        <v>41429</v>
      </c>
      <c r="B1656" s="121">
        <v>0.60896990740740742</v>
      </c>
      <c r="C1656" s="831" t="s">
        <v>1572</v>
      </c>
    </row>
    <row r="1657" spans="1:3" x14ac:dyDescent="0.25">
      <c r="A1657" s="36">
        <v>41429</v>
      </c>
      <c r="B1657" s="121">
        <v>0.60962962962962963</v>
      </c>
      <c r="C1657" s="26" t="s">
        <v>1573</v>
      </c>
    </row>
    <row r="1658" spans="1:3" ht="45" x14ac:dyDescent="0.25">
      <c r="A1658" s="36">
        <v>41429</v>
      </c>
      <c r="B1658" s="121">
        <v>0.61069444444444443</v>
      </c>
      <c r="C1658" s="831" t="s">
        <v>1574</v>
      </c>
    </row>
    <row r="1659" spans="1:3" x14ac:dyDescent="0.25">
      <c r="A1659" s="36">
        <v>41429</v>
      </c>
      <c r="B1659" s="121">
        <v>0.61310185185185184</v>
      </c>
      <c r="C1659" s="26" t="s">
        <v>1575</v>
      </c>
    </row>
    <row r="1660" spans="1:3" ht="30" x14ac:dyDescent="0.25">
      <c r="A1660" s="36">
        <v>41429</v>
      </c>
      <c r="B1660" s="121">
        <v>0.61337962962962966</v>
      </c>
      <c r="C1660" s="831" t="s">
        <v>1576</v>
      </c>
    </row>
    <row r="1661" spans="1:3" ht="45" x14ac:dyDescent="0.25">
      <c r="A1661" s="36">
        <v>41429</v>
      </c>
      <c r="B1661" s="121">
        <v>0.61440972222222223</v>
      </c>
      <c r="C1661" s="831" t="s">
        <v>1577</v>
      </c>
    </row>
    <row r="1662" spans="1:3" x14ac:dyDescent="0.25">
      <c r="A1662" s="36">
        <v>41429</v>
      </c>
      <c r="B1662" s="121">
        <v>0.61623842592592593</v>
      </c>
      <c r="C1662" s="26" t="s">
        <v>1578</v>
      </c>
    </row>
    <row r="1663" spans="1:3" ht="30" x14ac:dyDescent="0.25">
      <c r="A1663" s="36">
        <v>41429</v>
      </c>
      <c r="B1663" s="121">
        <v>0.61630787037037038</v>
      </c>
      <c r="C1663" s="831" t="s">
        <v>1579</v>
      </c>
    </row>
    <row r="1664" spans="1:3" ht="45" x14ac:dyDescent="0.25">
      <c r="A1664" s="36">
        <v>41429</v>
      </c>
      <c r="B1664" s="121">
        <v>0.61640046296296302</v>
      </c>
      <c r="C1664" s="831" t="s">
        <v>1580</v>
      </c>
    </row>
    <row r="1665" spans="1:3" x14ac:dyDescent="0.25">
      <c r="A1665" s="36">
        <v>41429</v>
      </c>
      <c r="B1665" s="121">
        <v>0.61774305555555553</v>
      </c>
      <c r="C1665" s="26" t="s">
        <v>1581</v>
      </c>
    </row>
    <row r="1666" spans="1:3" x14ac:dyDescent="0.25">
      <c r="A1666" s="36">
        <v>41429</v>
      </c>
      <c r="B1666" s="121">
        <v>0.61887731481481478</v>
      </c>
      <c r="C1666" s="26" t="s">
        <v>1582</v>
      </c>
    </row>
    <row r="1667" spans="1:3" ht="45" x14ac:dyDescent="0.25">
      <c r="A1667" s="36">
        <v>41429</v>
      </c>
      <c r="B1667" s="121">
        <v>0.62042824074074077</v>
      </c>
      <c r="C1667" s="831" t="s">
        <v>1583</v>
      </c>
    </row>
    <row r="1668" spans="1:3" ht="45" x14ac:dyDescent="0.25">
      <c r="A1668" s="36">
        <v>41429</v>
      </c>
      <c r="B1668" s="121">
        <v>0.62076388888888889</v>
      </c>
      <c r="C1668" s="831" t="s">
        <v>1584</v>
      </c>
    </row>
    <row r="1669" spans="1:3" ht="30" x14ac:dyDescent="0.25">
      <c r="A1669" s="36">
        <v>41429</v>
      </c>
      <c r="B1669" s="121">
        <v>0.62084490740740739</v>
      </c>
      <c r="C1669" s="831" t="s">
        <v>1585</v>
      </c>
    </row>
    <row r="1670" spans="1:3" x14ac:dyDescent="0.25">
      <c r="A1670" s="36">
        <v>41429</v>
      </c>
      <c r="B1670" s="121">
        <v>0.73952546296296295</v>
      </c>
      <c r="C1670" s="26" t="s">
        <v>1229</v>
      </c>
    </row>
    <row r="1671" spans="1:3" x14ac:dyDescent="0.25">
      <c r="A1671" s="36">
        <v>41429</v>
      </c>
      <c r="B1671" s="121">
        <v>0.73952546296296295</v>
      </c>
      <c r="C1671" s="26" t="s">
        <v>1230</v>
      </c>
    </row>
    <row r="1672" spans="1:3" x14ac:dyDescent="0.25">
      <c r="A1672" s="36">
        <v>41429</v>
      </c>
      <c r="B1672" s="121">
        <v>0.73952546296296295</v>
      </c>
      <c r="C1672" s="26" t="s">
        <v>1231</v>
      </c>
    </row>
    <row r="1673" spans="1:3" x14ac:dyDescent="0.25">
      <c r="A1673" s="36">
        <v>41429</v>
      </c>
      <c r="B1673" s="121">
        <v>0.73952546296296295</v>
      </c>
      <c r="C1673" s="26" t="s">
        <v>1232</v>
      </c>
    </row>
    <row r="1674" spans="1:3" x14ac:dyDescent="0.25">
      <c r="A1674" s="36">
        <v>41429</v>
      </c>
      <c r="B1674" s="121">
        <v>0.73952546296296295</v>
      </c>
      <c r="C1674" s="26" t="s">
        <v>1233</v>
      </c>
    </row>
    <row r="1675" spans="1:3" x14ac:dyDescent="0.25">
      <c r="A1675" s="36">
        <v>41429</v>
      </c>
      <c r="B1675" s="121">
        <v>0.73952546296296295</v>
      </c>
      <c r="C1675" s="26" t="s">
        <v>1234</v>
      </c>
    </row>
    <row r="1676" spans="1:3" x14ac:dyDescent="0.25">
      <c r="A1676" s="36">
        <v>41429</v>
      </c>
      <c r="B1676" s="121">
        <v>0.73952546296296295</v>
      </c>
      <c r="C1676" s="26" t="s">
        <v>1235</v>
      </c>
    </row>
    <row r="1677" spans="1:3" x14ac:dyDescent="0.25">
      <c r="A1677" s="36">
        <v>41429</v>
      </c>
      <c r="B1677" s="121">
        <v>0.73952546296296295</v>
      </c>
      <c r="C1677" s="26" t="s">
        <v>1236</v>
      </c>
    </row>
    <row r="1678" spans="1:3" x14ac:dyDescent="0.25">
      <c r="A1678" s="36">
        <v>41429</v>
      </c>
      <c r="B1678" s="121">
        <v>0.73952546296296295</v>
      </c>
      <c r="C1678" s="26" t="s">
        <v>1237</v>
      </c>
    </row>
    <row r="1679" spans="1:3" x14ac:dyDescent="0.25">
      <c r="A1679" s="36">
        <v>41429</v>
      </c>
      <c r="B1679" s="121">
        <v>0.73952546296296295</v>
      </c>
      <c r="C1679" s="26" t="s">
        <v>1238</v>
      </c>
    </row>
    <row r="1680" spans="1:3" x14ac:dyDescent="0.25">
      <c r="A1680" s="36">
        <v>41429</v>
      </c>
      <c r="B1680" s="121">
        <v>0.73952546296296295</v>
      </c>
      <c r="C1680" s="26" t="s">
        <v>1239</v>
      </c>
    </row>
    <row r="1681" spans="1:3" x14ac:dyDescent="0.25">
      <c r="A1681" s="36">
        <v>41429</v>
      </c>
      <c r="B1681" s="121">
        <v>0.73952546296296295</v>
      </c>
      <c r="C1681" s="26" t="s">
        <v>1240</v>
      </c>
    </row>
    <row r="1682" spans="1:3" x14ac:dyDescent="0.25">
      <c r="A1682" s="36">
        <v>41429</v>
      </c>
      <c r="B1682" s="121">
        <v>0.73952546296296295</v>
      </c>
      <c r="C1682" s="26" t="s">
        <v>1241</v>
      </c>
    </row>
    <row r="1683" spans="1:3" x14ac:dyDescent="0.25">
      <c r="A1683" s="36">
        <v>41429</v>
      </c>
      <c r="B1683" s="121">
        <v>0.73952546296296295</v>
      </c>
      <c r="C1683" s="26" t="s">
        <v>1242</v>
      </c>
    </row>
    <row r="1684" spans="1:3" x14ac:dyDescent="0.25">
      <c r="A1684" s="36">
        <v>41429</v>
      </c>
      <c r="B1684" s="121">
        <v>0.73952546296296295</v>
      </c>
      <c r="C1684" s="26" t="s">
        <v>1243</v>
      </c>
    </row>
    <row r="1685" spans="1:3" x14ac:dyDescent="0.25">
      <c r="A1685" s="36">
        <v>41429</v>
      </c>
      <c r="B1685" s="121">
        <v>0.73952546296296295</v>
      </c>
      <c r="C1685" s="26" t="s">
        <v>1244</v>
      </c>
    </row>
    <row r="1686" spans="1:3" x14ac:dyDescent="0.25">
      <c r="A1686" s="36">
        <v>41429</v>
      </c>
      <c r="B1686" s="121">
        <v>0.73952546296296295</v>
      </c>
      <c r="C1686" s="26" t="s">
        <v>1245</v>
      </c>
    </row>
    <row r="1687" spans="1:3" x14ac:dyDescent="0.25">
      <c r="A1687" s="36">
        <v>41429</v>
      </c>
      <c r="B1687" s="121">
        <v>0.73952546296296295</v>
      </c>
      <c r="C1687" s="26" t="s">
        <v>1233</v>
      </c>
    </row>
    <row r="1688" spans="1:3" x14ac:dyDescent="0.25">
      <c r="A1688" s="36">
        <v>41429</v>
      </c>
      <c r="B1688" s="121">
        <v>0.73952546296296295</v>
      </c>
      <c r="C1688" s="26" t="s">
        <v>1248</v>
      </c>
    </row>
    <row r="1689" spans="1:3" x14ac:dyDescent="0.25">
      <c r="A1689" s="36">
        <v>41429</v>
      </c>
      <c r="B1689" s="121">
        <v>0.73952546296296295</v>
      </c>
      <c r="C1689" s="26" t="s">
        <v>1249</v>
      </c>
    </row>
    <row r="1690" spans="1:3" x14ac:dyDescent="0.25">
      <c r="A1690" s="36">
        <v>41429</v>
      </c>
      <c r="B1690" s="121">
        <v>0.73952546296296295</v>
      </c>
      <c r="C1690" s="26" t="s">
        <v>1250</v>
      </c>
    </row>
    <row r="1691" spans="1:3" x14ac:dyDescent="0.25">
      <c r="A1691" s="36">
        <v>41429</v>
      </c>
      <c r="B1691" s="121">
        <v>0.73953703703703699</v>
      </c>
      <c r="C1691" s="26" t="s">
        <v>1251</v>
      </c>
    </row>
    <row r="1692" spans="1:3" x14ac:dyDescent="0.25">
      <c r="A1692" s="36">
        <v>41429</v>
      </c>
      <c r="B1692" s="121">
        <v>0.73953703703703699</v>
      </c>
      <c r="C1692" s="26" t="s">
        <v>1252</v>
      </c>
    </row>
    <row r="1693" spans="1:3" x14ac:dyDescent="0.25">
      <c r="A1693" s="36">
        <v>41429</v>
      </c>
      <c r="B1693" s="121">
        <v>0.73953703703703699</v>
      </c>
      <c r="C1693" s="26" t="s">
        <v>1253</v>
      </c>
    </row>
    <row r="1694" spans="1:3" x14ac:dyDescent="0.25">
      <c r="A1694" s="36">
        <v>41429</v>
      </c>
      <c r="B1694" s="121">
        <v>0.73953703703703699</v>
      </c>
      <c r="C1694" s="26" t="s">
        <v>1254</v>
      </c>
    </row>
    <row r="1695" spans="1:3" x14ac:dyDescent="0.25">
      <c r="A1695" s="36">
        <v>41429</v>
      </c>
      <c r="B1695" s="121">
        <v>0.73953703703703699</v>
      </c>
      <c r="C1695" s="26" t="s">
        <v>1255</v>
      </c>
    </row>
    <row r="1696" spans="1:3" x14ac:dyDescent="0.25">
      <c r="A1696" s="36">
        <v>41429</v>
      </c>
      <c r="B1696" s="121">
        <v>0.73953703703703699</v>
      </c>
      <c r="C1696" s="26" t="s">
        <v>1236</v>
      </c>
    </row>
    <row r="1697" spans="1:3" x14ac:dyDescent="0.25">
      <c r="A1697" s="36">
        <v>41429</v>
      </c>
      <c r="B1697" s="121">
        <v>0.73953703703703699</v>
      </c>
      <c r="C1697" s="26" t="s">
        <v>1257</v>
      </c>
    </row>
    <row r="1698" spans="1:3" x14ac:dyDescent="0.25">
      <c r="A1698" s="36">
        <v>41429</v>
      </c>
      <c r="B1698" s="121">
        <v>0.73953703703703699</v>
      </c>
      <c r="C1698" s="26" t="s">
        <v>1258</v>
      </c>
    </row>
    <row r="1699" spans="1:3" x14ac:dyDescent="0.25">
      <c r="A1699" s="36">
        <v>41429</v>
      </c>
      <c r="B1699" s="121">
        <v>0.73953703703703699</v>
      </c>
      <c r="C1699" s="26" t="s">
        <v>1259</v>
      </c>
    </row>
    <row r="1700" spans="1:3" x14ac:dyDescent="0.25">
      <c r="A1700" s="36">
        <v>41429</v>
      </c>
      <c r="B1700" s="121">
        <v>0.73953703703703699</v>
      </c>
      <c r="C1700" s="26" t="s">
        <v>1260</v>
      </c>
    </row>
    <row r="1701" spans="1:3" x14ac:dyDescent="0.25">
      <c r="A1701" s="36">
        <v>41429</v>
      </c>
      <c r="B1701" s="121">
        <v>0.73953703703703699</v>
      </c>
      <c r="C1701" s="26" t="s">
        <v>1260</v>
      </c>
    </row>
    <row r="1702" spans="1:3" x14ac:dyDescent="0.25">
      <c r="A1702" s="36">
        <v>41429</v>
      </c>
      <c r="B1702" s="121">
        <v>0.73953703703703699</v>
      </c>
      <c r="C1702" s="26" t="s">
        <v>1261</v>
      </c>
    </row>
    <row r="1703" spans="1:3" x14ac:dyDescent="0.25">
      <c r="A1703" s="36">
        <v>41429</v>
      </c>
      <c r="B1703" s="121">
        <v>0.73953703703703699</v>
      </c>
      <c r="C1703" s="26" t="s">
        <v>1260</v>
      </c>
    </row>
    <row r="1704" spans="1:3" x14ac:dyDescent="0.25">
      <c r="A1704" s="36">
        <v>41429</v>
      </c>
      <c r="B1704" s="121">
        <v>0.73953703703703699</v>
      </c>
      <c r="C1704" s="26" t="s">
        <v>1260</v>
      </c>
    </row>
    <row r="1705" spans="1:3" x14ac:dyDescent="0.25">
      <c r="A1705" s="36">
        <v>41429</v>
      </c>
      <c r="B1705" s="121">
        <v>0.73953703703703699</v>
      </c>
      <c r="C1705" s="26" t="s">
        <v>1236</v>
      </c>
    </row>
    <row r="1706" spans="1:3" x14ac:dyDescent="0.25">
      <c r="A1706" s="36">
        <v>41429</v>
      </c>
      <c r="B1706" s="121">
        <v>0.73953703703703699</v>
      </c>
      <c r="C1706" s="26" t="s">
        <v>1262</v>
      </c>
    </row>
    <row r="1707" spans="1:3" x14ac:dyDescent="0.25">
      <c r="A1707" s="36">
        <v>41429</v>
      </c>
      <c r="B1707" s="121">
        <v>0.73953703703703699</v>
      </c>
      <c r="C1707" s="26" t="s">
        <v>1254</v>
      </c>
    </row>
    <row r="1708" spans="1:3" x14ac:dyDescent="0.25">
      <c r="A1708" s="36">
        <v>41429</v>
      </c>
      <c r="B1708" s="121">
        <v>0.73953703703703699</v>
      </c>
      <c r="C1708" s="26" t="s">
        <v>1254</v>
      </c>
    </row>
    <row r="1709" spans="1:3" x14ac:dyDescent="0.25">
      <c r="A1709" s="36">
        <v>41429</v>
      </c>
      <c r="B1709" s="121">
        <v>0.73953703703703699</v>
      </c>
      <c r="C1709" s="26" t="s">
        <v>1263</v>
      </c>
    </row>
    <row r="1710" spans="1:3" x14ac:dyDescent="0.25">
      <c r="A1710" s="36">
        <v>41429</v>
      </c>
      <c r="B1710" s="121">
        <v>0.73953703703703699</v>
      </c>
      <c r="C1710" s="26" t="s">
        <v>1254</v>
      </c>
    </row>
    <row r="1711" spans="1:3" x14ac:dyDescent="0.25">
      <c r="A1711" s="36">
        <v>41429</v>
      </c>
      <c r="B1711" s="121">
        <v>0.73953703703703699</v>
      </c>
      <c r="C1711" s="26" t="s">
        <v>1252</v>
      </c>
    </row>
    <row r="1712" spans="1:3" x14ac:dyDescent="0.25">
      <c r="A1712" s="36">
        <v>41429</v>
      </c>
      <c r="B1712" s="121">
        <v>0.73953703703703699</v>
      </c>
      <c r="C1712" s="26" t="s">
        <v>1260</v>
      </c>
    </row>
    <row r="1713" spans="1:3" x14ac:dyDescent="0.25">
      <c r="A1713" s="36">
        <v>41429</v>
      </c>
      <c r="B1713" s="121">
        <v>0.73953703703703699</v>
      </c>
      <c r="C1713" s="26" t="s">
        <v>1264</v>
      </c>
    </row>
    <row r="1714" spans="1:3" x14ac:dyDescent="0.25">
      <c r="A1714" s="36">
        <v>41429</v>
      </c>
      <c r="B1714" s="121">
        <v>0.73953703703703699</v>
      </c>
      <c r="C1714" s="26" t="s">
        <v>1265</v>
      </c>
    </row>
    <row r="1715" spans="1:3" x14ac:dyDescent="0.25">
      <c r="A1715" s="36">
        <v>41429</v>
      </c>
      <c r="B1715" s="121">
        <v>0.73953703703703699</v>
      </c>
      <c r="C1715" s="26" t="s">
        <v>1260</v>
      </c>
    </row>
    <row r="1716" spans="1:3" x14ac:dyDescent="0.25">
      <c r="A1716" s="36">
        <v>41429</v>
      </c>
      <c r="B1716" s="121">
        <v>0.73954861111111114</v>
      </c>
      <c r="C1716" s="26" t="s">
        <v>1267</v>
      </c>
    </row>
    <row r="1717" spans="1:3" x14ac:dyDescent="0.25">
      <c r="A1717" s="36">
        <v>41429</v>
      </c>
      <c r="B1717" s="121">
        <v>0.73954861111111114</v>
      </c>
      <c r="C1717" s="26" t="s">
        <v>1268</v>
      </c>
    </row>
    <row r="1718" spans="1:3" x14ac:dyDescent="0.25">
      <c r="A1718" s="36">
        <v>41429</v>
      </c>
      <c r="B1718" s="121">
        <v>0.73954861111111114</v>
      </c>
      <c r="C1718" s="26" t="s">
        <v>1269</v>
      </c>
    </row>
    <row r="1719" spans="1:3" x14ac:dyDescent="0.25">
      <c r="A1719" s="36">
        <v>41429</v>
      </c>
      <c r="B1719" s="121">
        <v>0.73954861111111114</v>
      </c>
      <c r="C1719" s="26" t="s">
        <v>1270</v>
      </c>
    </row>
    <row r="1720" spans="1:3" x14ac:dyDescent="0.25">
      <c r="A1720" s="36">
        <v>41429</v>
      </c>
      <c r="B1720" s="121">
        <v>0.73954861111111114</v>
      </c>
      <c r="C1720" s="26" t="s">
        <v>1271</v>
      </c>
    </row>
    <row r="1721" spans="1:3" x14ac:dyDescent="0.25">
      <c r="A1721" s="36">
        <v>41429</v>
      </c>
      <c r="B1721" s="121">
        <v>0.73954861111111114</v>
      </c>
      <c r="C1721" s="26" t="s">
        <v>1272</v>
      </c>
    </row>
    <row r="1722" spans="1:3" x14ac:dyDescent="0.25">
      <c r="A1722" s="36">
        <v>41429</v>
      </c>
      <c r="B1722" s="121">
        <v>0.73954861111111114</v>
      </c>
      <c r="C1722" s="26" t="s">
        <v>1273</v>
      </c>
    </row>
    <row r="1723" spans="1:3" x14ac:dyDescent="0.25">
      <c r="A1723" s="36">
        <v>41429</v>
      </c>
      <c r="B1723" s="121">
        <v>0.73954861111111114</v>
      </c>
      <c r="C1723" s="26" t="s">
        <v>1274</v>
      </c>
    </row>
    <row r="1724" spans="1:3" x14ac:dyDescent="0.25">
      <c r="A1724" s="36">
        <v>41429</v>
      </c>
      <c r="B1724" s="121">
        <v>0.73954861111111114</v>
      </c>
      <c r="C1724" s="26" t="s">
        <v>1275</v>
      </c>
    </row>
    <row r="1725" spans="1:3" x14ac:dyDescent="0.25">
      <c r="A1725" s="36">
        <v>41429</v>
      </c>
      <c r="B1725" s="121">
        <v>0.73954861111111114</v>
      </c>
      <c r="C1725" s="26" t="s">
        <v>1276</v>
      </c>
    </row>
    <row r="1726" spans="1:3" x14ac:dyDescent="0.25">
      <c r="A1726" s="36">
        <v>41429</v>
      </c>
      <c r="B1726" s="121">
        <v>0.73954861111111114</v>
      </c>
      <c r="C1726" s="26" t="s">
        <v>1277</v>
      </c>
    </row>
    <row r="1727" spans="1:3" x14ac:dyDescent="0.25">
      <c r="A1727" s="36">
        <v>41429</v>
      </c>
      <c r="B1727" s="121">
        <v>0.73954861111111114</v>
      </c>
      <c r="C1727" s="26" t="s">
        <v>1260</v>
      </c>
    </row>
    <row r="1728" spans="1:3" x14ac:dyDescent="0.25">
      <c r="A1728" s="36">
        <v>41429</v>
      </c>
      <c r="B1728" s="121">
        <v>0.73954861111111114</v>
      </c>
      <c r="C1728" s="26" t="s">
        <v>1277</v>
      </c>
    </row>
    <row r="1729" spans="1:3" x14ac:dyDescent="0.25">
      <c r="A1729" s="36">
        <v>41429</v>
      </c>
      <c r="B1729" s="121">
        <v>0.73954861111111114</v>
      </c>
      <c r="C1729" s="26" t="s">
        <v>1278</v>
      </c>
    </row>
    <row r="1730" spans="1:3" x14ac:dyDescent="0.25">
      <c r="A1730" s="36">
        <v>41429</v>
      </c>
      <c r="B1730" s="121">
        <v>0.73954861111111114</v>
      </c>
      <c r="C1730" s="26" t="s">
        <v>1277</v>
      </c>
    </row>
    <row r="1731" spans="1:3" x14ac:dyDescent="0.25">
      <c r="A1731" s="36">
        <v>41429</v>
      </c>
      <c r="B1731" s="121">
        <v>0.73954861111111114</v>
      </c>
      <c r="C1731" s="26" t="s">
        <v>1277</v>
      </c>
    </row>
    <row r="1732" spans="1:3" x14ac:dyDescent="0.25">
      <c r="A1732" s="36">
        <v>41429</v>
      </c>
      <c r="B1732" s="121">
        <v>0.73954861111111114</v>
      </c>
      <c r="C1732" s="26" t="s">
        <v>1281</v>
      </c>
    </row>
    <row r="1733" spans="1:3" x14ac:dyDescent="0.25">
      <c r="A1733" s="36">
        <v>41429</v>
      </c>
      <c r="B1733" s="121">
        <v>0.73954861111111114</v>
      </c>
      <c r="C1733" s="26" t="s">
        <v>1282</v>
      </c>
    </row>
    <row r="1734" spans="1:3" x14ac:dyDescent="0.25">
      <c r="A1734" s="36">
        <v>41429</v>
      </c>
      <c r="B1734" s="121">
        <v>0.73954861111111114</v>
      </c>
      <c r="C1734" s="26" t="s">
        <v>1283</v>
      </c>
    </row>
    <row r="1735" spans="1:3" x14ac:dyDescent="0.25">
      <c r="A1735" s="36">
        <v>41429</v>
      </c>
      <c r="B1735" s="121">
        <v>0.73954861111111114</v>
      </c>
      <c r="C1735" s="26" t="s">
        <v>1284</v>
      </c>
    </row>
    <row r="1736" spans="1:3" x14ac:dyDescent="0.25">
      <c r="A1736" s="36">
        <v>41429</v>
      </c>
      <c r="B1736" s="121">
        <v>0.73954861111111114</v>
      </c>
      <c r="C1736" s="26" t="s">
        <v>1284</v>
      </c>
    </row>
    <row r="1737" spans="1:3" x14ac:dyDescent="0.25">
      <c r="A1737" s="36">
        <v>41429</v>
      </c>
      <c r="B1737" s="121">
        <v>0.73954861111111114</v>
      </c>
      <c r="C1737" s="26" t="s">
        <v>1285</v>
      </c>
    </row>
    <row r="1738" spans="1:3" x14ac:dyDescent="0.25">
      <c r="A1738" s="36">
        <v>41429</v>
      </c>
      <c r="B1738" s="121">
        <v>0.73954861111111114</v>
      </c>
      <c r="C1738" s="26" t="s">
        <v>1286</v>
      </c>
    </row>
    <row r="1739" spans="1:3" x14ac:dyDescent="0.25">
      <c r="A1739" s="36">
        <v>41429</v>
      </c>
      <c r="B1739" s="121">
        <v>0.73954861111111114</v>
      </c>
      <c r="C1739" s="26" t="s">
        <v>1287</v>
      </c>
    </row>
    <row r="1740" spans="1:3" x14ac:dyDescent="0.25">
      <c r="A1740" s="36">
        <v>41429</v>
      </c>
      <c r="B1740" s="121">
        <v>0.73954861111111114</v>
      </c>
      <c r="C1740" s="26" t="s">
        <v>1288</v>
      </c>
    </row>
    <row r="1741" spans="1:3" x14ac:dyDescent="0.25">
      <c r="A1741" s="36">
        <v>41429</v>
      </c>
      <c r="B1741" s="121">
        <v>0.73954861111111114</v>
      </c>
      <c r="C1741" s="26" t="s">
        <v>1289</v>
      </c>
    </row>
    <row r="1742" spans="1:3" x14ac:dyDescent="0.25">
      <c r="A1742" s="36">
        <v>41429</v>
      </c>
      <c r="B1742" s="121">
        <v>0.73954861111111114</v>
      </c>
      <c r="C1742" s="26" t="s">
        <v>1263</v>
      </c>
    </row>
    <row r="1743" spans="1:3" x14ac:dyDescent="0.25">
      <c r="A1743" s="36">
        <v>41429</v>
      </c>
      <c r="B1743" s="121">
        <v>0.73954861111111114</v>
      </c>
      <c r="C1743" s="26" t="s">
        <v>1290</v>
      </c>
    </row>
    <row r="1744" spans="1:3" x14ac:dyDescent="0.25">
      <c r="A1744" s="36">
        <v>41429</v>
      </c>
      <c r="B1744" s="121">
        <v>0.73954861111111114</v>
      </c>
      <c r="C1744" s="26" t="s">
        <v>1291</v>
      </c>
    </row>
    <row r="1745" spans="1:3" x14ac:dyDescent="0.25">
      <c r="A1745" s="36">
        <v>41429</v>
      </c>
      <c r="B1745" s="121">
        <v>0.73954861111111114</v>
      </c>
      <c r="C1745" s="26" t="s">
        <v>1293</v>
      </c>
    </row>
    <row r="1746" spans="1:3" x14ac:dyDescent="0.25">
      <c r="A1746" s="36">
        <v>41429</v>
      </c>
      <c r="B1746" s="121">
        <v>0.73954861111111114</v>
      </c>
      <c r="C1746" s="26" t="s">
        <v>1294</v>
      </c>
    </row>
    <row r="1747" spans="1:3" x14ac:dyDescent="0.25">
      <c r="A1747" s="36">
        <v>41429</v>
      </c>
      <c r="B1747" s="121">
        <v>0.73954861111111114</v>
      </c>
      <c r="C1747" s="26" t="s">
        <v>1295</v>
      </c>
    </row>
    <row r="1748" spans="1:3" x14ac:dyDescent="0.25">
      <c r="A1748" s="36">
        <v>41429</v>
      </c>
      <c r="B1748" s="121">
        <v>0.73954861111111114</v>
      </c>
      <c r="C1748" s="26" t="s">
        <v>1299</v>
      </c>
    </row>
    <row r="1749" spans="1:3" x14ac:dyDescent="0.25">
      <c r="A1749" s="36">
        <v>41429</v>
      </c>
      <c r="B1749" s="121">
        <v>0.73954861111111114</v>
      </c>
      <c r="C1749" s="26" t="s">
        <v>1267</v>
      </c>
    </row>
    <row r="1750" spans="1:3" x14ac:dyDescent="0.25">
      <c r="A1750" s="36">
        <v>41429</v>
      </c>
      <c r="B1750" s="121">
        <v>0.73954861111111114</v>
      </c>
      <c r="C1750" s="26" t="s">
        <v>1301</v>
      </c>
    </row>
    <row r="1751" spans="1:3" x14ac:dyDescent="0.25">
      <c r="A1751" s="36">
        <v>41429</v>
      </c>
      <c r="B1751" s="121">
        <v>0.73954861111111114</v>
      </c>
      <c r="C1751" s="26" t="s">
        <v>1302</v>
      </c>
    </row>
    <row r="1752" spans="1:3" x14ac:dyDescent="0.25">
      <c r="A1752" s="36">
        <v>41429</v>
      </c>
      <c r="B1752" s="121">
        <v>0.73954861111111114</v>
      </c>
      <c r="C1752" s="26" t="s">
        <v>1303</v>
      </c>
    </row>
    <row r="1753" spans="1:3" x14ac:dyDescent="0.25">
      <c r="A1753" s="36">
        <v>41429</v>
      </c>
      <c r="B1753" s="121">
        <v>0.73954861111111114</v>
      </c>
      <c r="C1753" s="26" t="s">
        <v>1304</v>
      </c>
    </row>
    <row r="1754" spans="1:3" x14ac:dyDescent="0.25">
      <c r="A1754" s="36">
        <v>41429</v>
      </c>
      <c r="B1754" s="121">
        <v>0.73954861111111114</v>
      </c>
      <c r="C1754" s="26" t="s">
        <v>1252</v>
      </c>
    </row>
    <row r="1755" spans="1:3" x14ac:dyDescent="0.25">
      <c r="A1755" s="36">
        <v>41429</v>
      </c>
      <c r="B1755" s="121">
        <v>0.73954861111111114</v>
      </c>
      <c r="C1755" s="26" t="s">
        <v>1305</v>
      </c>
    </row>
    <row r="1756" spans="1:3" x14ac:dyDescent="0.25">
      <c r="A1756" s="36">
        <v>41429</v>
      </c>
      <c r="B1756" s="121">
        <v>0.73954861111111114</v>
      </c>
      <c r="C1756" s="26" t="s">
        <v>1306</v>
      </c>
    </row>
    <row r="1757" spans="1:3" x14ac:dyDescent="0.25">
      <c r="A1757" s="36">
        <v>41429</v>
      </c>
      <c r="B1757" s="121">
        <v>0.73954861111111114</v>
      </c>
      <c r="C1757" s="26" t="s">
        <v>1290</v>
      </c>
    </row>
    <row r="1758" spans="1:3" x14ac:dyDescent="0.25">
      <c r="A1758" s="36">
        <v>41429</v>
      </c>
      <c r="B1758" s="121">
        <v>0.73954861111111114</v>
      </c>
      <c r="C1758" s="26" t="s">
        <v>1308</v>
      </c>
    </row>
    <row r="1759" spans="1:3" x14ac:dyDescent="0.25">
      <c r="A1759" s="36">
        <v>41429</v>
      </c>
      <c r="B1759" s="121">
        <v>0.73954861111111114</v>
      </c>
      <c r="C1759" s="26" t="s">
        <v>1308</v>
      </c>
    </row>
    <row r="1760" spans="1:3" x14ac:dyDescent="0.25">
      <c r="A1760" s="36">
        <v>41429</v>
      </c>
      <c r="B1760" s="121">
        <v>0.73954861111111114</v>
      </c>
      <c r="C1760" s="26" t="s">
        <v>1309</v>
      </c>
    </row>
    <row r="1761" spans="1:3" x14ac:dyDescent="0.25">
      <c r="A1761" s="36">
        <v>41429</v>
      </c>
      <c r="B1761" s="121">
        <v>0.73954861111111114</v>
      </c>
      <c r="C1761" s="26" t="s">
        <v>1303</v>
      </c>
    </row>
    <row r="1762" spans="1:3" x14ac:dyDescent="0.25">
      <c r="A1762" s="36">
        <v>41429</v>
      </c>
      <c r="B1762" s="121">
        <v>0.73954861111111114</v>
      </c>
      <c r="C1762" s="26" t="s">
        <v>1310</v>
      </c>
    </row>
    <row r="1763" spans="1:3" x14ac:dyDescent="0.25">
      <c r="A1763" s="36">
        <v>41429</v>
      </c>
      <c r="B1763" s="121">
        <v>0.73954861111111114</v>
      </c>
      <c r="C1763" s="26" t="s">
        <v>1311</v>
      </c>
    </row>
    <row r="1764" spans="1:3" x14ac:dyDescent="0.25">
      <c r="A1764" s="36">
        <v>41429</v>
      </c>
      <c r="B1764" s="121">
        <v>0.73954861111111114</v>
      </c>
      <c r="C1764" s="26" t="s">
        <v>1312</v>
      </c>
    </row>
    <row r="1765" spans="1:3" x14ac:dyDescent="0.25">
      <c r="A1765" s="36">
        <v>41429</v>
      </c>
      <c r="B1765" s="121">
        <v>0.73954861111111114</v>
      </c>
      <c r="C1765" s="26" t="s">
        <v>1273</v>
      </c>
    </row>
    <row r="1766" spans="1:3" x14ac:dyDescent="0.25">
      <c r="A1766" s="36">
        <v>41429</v>
      </c>
      <c r="B1766" s="121">
        <v>0.73954861111111114</v>
      </c>
      <c r="C1766" s="26" t="s">
        <v>1313</v>
      </c>
    </row>
    <row r="1767" spans="1:3" x14ac:dyDescent="0.25">
      <c r="A1767" s="36">
        <v>41429</v>
      </c>
      <c r="B1767" s="121">
        <v>0.73954861111111114</v>
      </c>
      <c r="C1767" s="26" t="s">
        <v>1314</v>
      </c>
    </row>
    <row r="1768" spans="1:3" x14ac:dyDescent="0.25">
      <c r="A1768" s="36">
        <v>41429</v>
      </c>
      <c r="B1768" s="121">
        <v>0.73954861111111114</v>
      </c>
      <c r="C1768" s="26" t="s">
        <v>1315</v>
      </c>
    </row>
    <row r="1769" spans="1:3" x14ac:dyDescent="0.25">
      <c r="A1769" s="36">
        <v>41429</v>
      </c>
      <c r="B1769" s="121">
        <v>0.73954861111111114</v>
      </c>
      <c r="C1769" s="26" t="s">
        <v>1310</v>
      </c>
    </row>
    <row r="1770" spans="1:3" x14ac:dyDescent="0.25">
      <c r="A1770" s="36">
        <v>41429</v>
      </c>
      <c r="B1770" s="121">
        <v>0.73954861111111114</v>
      </c>
      <c r="C1770" s="26" t="s">
        <v>1316</v>
      </c>
    </row>
    <row r="1771" spans="1:3" x14ac:dyDescent="0.25">
      <c r="A1771" s="36">
        <v>41429</v>
      </c>
      <c r="B1771" s="121">
        <v>0.73954861111111114</v>
      </c>
      <c r="C1771" s="26" t="s">
        <v>1317</v>
      </c>
    </row>
    <row r="1772" spans="1:3" x14ac:dyDescent="0.25">
      <c r="A1772" s="36">
        <v>41429</v>
      </c>
      <c r="B1772" s="121">
        <v>0.73954861111111114</v>
      </c>
      <c r="C1772" s="26" t="s">
        <v>1254</v>
      </c>
    </row>
    <row r="1773" spans="1:3" x14ac:dyDescent="0.25">
      <c r="A1773" s="36">
        <v>41429</v>
      </c>
      <c r="B1773" s="121">
        <v>0.73954861111111114</v>
      </c>
      <c r="C1773" s="26" t="s">
        <v>1254</v>
      </c>
    </row>
    <row r="1774" spans="1:3" x14ac:dyDescent="0.25">
      <c r="A1774" s="36">
        <v>41429</v>
      </c>
      <c r="B1774" s="121">
        <v>0.73954861111111114</v>
      </c>
      <c r="C1774" s="26" t="s">
        <v>1254</v>
      </c>
    </row>
    <row r="1775" spans="1:3" x14ac:dyDescent="0.25">
      <c r="A1775" s="36">
        <v>41429</v>
      </c>
      <c r="B1775" s="121">
        <v>0.73954861111111114</v>
      </c>
      <c r="C1775" s="26" t="s">
        <v>1318</v>
      </c>
    </row>
    <row r="1776" spans="1:3" x14ac:dyDescent="0.25">
      <c r="A1776" s="36">
        <v>41429</v>
      </c>
      <c r="B1776" s="121">
        <v>0.73954861111111114</v>
      </c>
      <c r="C1776" s="26" t="s">
        <v>1319</v>
      </c>
    </row>
    <row r="1777" spans="1:3" x14ac:dyDescent="0.25">
      <c r="A1777" s="36">
        <v>41429</v>
      </c>
      <c r="B1777" s="121">
        <v>0.73954861111111114</v>
      </c>
      <c r="C1777" s="26" t="s">
        <v>1265</v>
      </c>
    </row>
    <row r="1778" spans="1:3" x14ac:dyDescent="0.25">
      <c r="A1778" s="36">
        <v>41429</v>
      </c>
      <c r="B1778" s="121">
        <v>0.73954861111111114</v>
      </c>
      <c r="C1778" s="26" t="s">
        <v>1322</v>
      </c>
    </row>
    <row r="1779" spans="1:3" x14ac:dyDescent="0.25">
      <c r="A1779" s="36">
        <v>41429</v>
      </c>
      <c r="B1779" s="121">
        <v>0.73954861111111114</v>
      </c>
      <c r="C1779" s="26" t="s">
        <v>1323</v>
      </c>
    </row>
    <row r="1780" spans="1:3" x14ac:dyDescent="0.25">
      <c r="A1780" s="36">
        <v>41429</v>
      </c>
      <c r="B1780" s="121">
        <v>0.73954861111111114</v>
      </c>
      <c r="C1780" s="26" t="s">
        <v>1267</v>
      </c>
    </row>
    <row r="1781" spans="1:3" x14ac:dyDescent="0.25">
      <c r="A1781" s="36">
        <v>41429</v>
      </c>
      <c r="B1781" s="121">
        <v>0.73954861111111114</v>
      </c>
      <c r="C1781" s="26" t="s">
        <v>1324</v>
      </c>
    </row>
    <row r="1782" spans="1:3" x14ac:dyDescent="0.25">
      <c r="A1782" s="36">
        <v>41429</v>
      </c>
      <c r="B1782" s="121">
        <v>0.73954861111111114</v>
      </c>
      <c r="C1782" s="26" t="s">
        <v>1325</v>
      </c>
    </row>
    <row r="1783" spans="1:3" x14ac:dyDescent="0.25">
      <c r="A1783" s="36">
        <v>41429</v>
      </c>
      <c r="B1783" s="121">
        <v>0.73954861111111114</v>
      </c>
      <c r="C1783" s="26" t="s">
        <v>1326</v>
      </c>
    </row>
    <row r="1784" spans="1:3" x14ac:dyDescent="0.25">
      <c r="A1784" s="36">
        <v>41429</v>
      </c>
      <c r="B1784" s="121">
        <v>0.73954861111111114</v>
      </c>
      <c r="C1784" s="26" t="s">
        <v>1327</v>
      </c>
    </row>
    <row r="1785" spans="1:3" x14ac:dyDescent="0.25">
      <c r="A1785" s="36">
        <v>41429</v>
      </c>
      <c r="B1785" s="121">
        <v>0.73954861111111114</v>
      </c>
      <c r="C1785" s="26" t="s">
        <v>1328</v>
      </c>
    </row>
    <row r="1786" spans="1:3" x14ac:dyDescent="0.25">
      <c r="A1786" s="36">
        <v>41429</v>
      </c>
      <c r="B1786" s="121">
        <v>0.73954861111111114</v>
      </c>
      <c r="C1786" s="26" t="s">
        <v>1329</v>
      </c>
    </row>
    <row r="1787" spans="1:3" x14ac:dyDescent="0.25">
      <c r="A1787" s="36">
        <v>41429</v>
      </c>
      <c r="B1787" s="121">
        <v>0.73954861111111114</v>
      </c>
      <c r="C1787" s="26" t="s">
        <v>1329</v>
      </c>
    </row>
    <row r="1788" spans="1:3" x14ac:dyDescent="0.25">
      <c r="A1788" s="36">
        <v>41429</v>
      </c>
      <c r="B1788" s="121">
        <v>0.73954861111111114</v>
      </c>
      <c r="C1788" s="26" t="s">
        <v>1330</v>
      </c>
    </row>
    <row r="1789" spans="1:3" x14ac:dyDescent="0.25">
      <c r="A1789" s="36">
        <v>41429</v>
      </c>
      <c r="B1789" s="121">
        <v>0.73954861111111114</v>
      </c>
      <c r="C1789" s="26" t="s">
        <v>1262</v>
      </c>
    </row>
    <row r="1790" spans="1:3" x14ac:dyDescent="0.25">
      <c r="A1790" s="36">
        <v>41429</v>
      </c>
      <c r="B1790" s="121">
        <v>0.73954861111111114</v>
      </c>
      <c r="C1790" s="26" t="s">
        <v>1331</v>
      </c>
    </row>
    <row r="1791" spans="1:3" x14ac:dyDescent="0.25">
      <c r="A1791" s="36">
        <v>41429</v>
      </c>
      <c r="B1791" s="121">
        <v>0.73954861111111114</v>
      </c>
      <c r="C1791" s="26" t="s">
        <v>1332</v>
      </c>
    </row>
    <row r="1792" spans="1:3" x14ac:dyDescent="0.25">
      <c r="A1792" s="36">
        <v>41429</v>
      </c>
      <c r="B1792" s="121">
        <v>0.73954861111111114</v>
      </c>
      <c r="C1792" s="26" t="s">
        <v>1332</v>
      </c>
    </row>
    <row r="1793" spans="1:3" x14ac:dyDescent="0.25">
      <c r="A1793" s="36">
        <v>41429</v>
      </c>
      <c r="B1793" s="121">
        <v>0.73954861111111114</v>
      </c>
      <c r="C1793" s="26" t="s">
        <v>1333</v>
      </c>
    </row>
    <row r="1794" spans="1:3" x14ac:dyDescent="0.25">
      <c r="A1794" s="36">
        <v>41429</v>
      </c>
      <c r="B1794" s="121">
        <v>0.73954861111111114</v>
      </c>
      <c r="C1794" s="26" t="s">
        <v>1334</v>
      </c>
    </row>
    <row r="1795" spans="1:3" x14ac:dyDescent="0.25">
      <c r="A1795" s="36">
        <v>41429</v>
      </c>
      <c r="B1795" s="121">
        <v>0.73954861111111114</v>
      </c>
      <c r="C1795" s="26" t="s">
        <v>1336</v>
      </c>
    </row>
    <row r="1796" spans="1:3" x14ac:dyDescent="0.25">
      <c r="A1796" s="36">
        <v>41429</v>
      </c>
      <c r="B1796" s="121">
        <v>0.73954861111111114</v>
      </c>
      <c r="C1796" s="26" t="s">
        <v>1338</v>
      </c>
    </row>
    <row r="1797" spans="1:3" x14ac:dyDescent="0.25">
      <c r="A1797" s="36">
        <v>41429</v>
      </c>
      <c r="B1797" s="121">
        <v>0.73954861111111114</v>
      </c>
      <c r="C1797" s="26" t="s">
        <v>1339</v>
      </c>
    </row>
    <row r="1798" spans="1:3" x14ac:dyDescent="0.25">
      <c r="A1798" s="36">
        <v>41429</v>
      </c>
      <c r="B1798" s="121">
        <v>0.73954861111111114</v>
      </c>
      <c r="C1798" s="26" t="s">
        <v>1340</v>
      </c>
    </row>
    <row r="1799" spans="1:3" x14ac:dyDescent="0.25">
      <c r="A1799" s="36">
        <v>41429</v>
      </c>
      <c r="B1799" s="121">
        <v>0.73954861111111114</v>
      </c>
      <c r="C1799" s="26" t="s">
        <v>1340</v>
      </c>
    </row>
    <row r="1800" spans="1:3" x14ac:dyDescent="0.25">
      <c r="A1800" s="36">
        <v>41429</v>
      </c>
      <c r="B1800" s="121">
        <v>0.73954861111111114</v>
      </c>
      <c r="C1800" s="26" t="s">
        <v>1265</v>
      </c>
    </row>
    <row r="1801" spans="1:3" x14ac:dyDescent="0.25">
      <c r="A1801" s="36">
        <v>41429</v>
      </c>
      <c r="B1801" s="121">
        <v>0.73954861111111114</v>
      </c>
      <c r="C1801" s="26" t="s">
        <v>1338</v>
      </c>
    </row>
    <row r="1802" spans="1:3" x14ac:dyDescent="0.25">
      <c r="A1802" s="36">
        <v>41429</v>
      </c>
      <c r="B1802" s="121">
        <v>0.73954861111111114</v>
      </c>
      <c r="C1802" s="26" t="s">
        <v>1252</v>
      </c>
    </row>
    <row r="1803" spans="1:3" x14ac:dyDescent="0.25">
      <c r="A1803" s="36">
        <v>41429</v>
      </c>
      <c r="B1803" s="121">
        <v>0.73954861111111114</v>
      </c>
      <c r="C1803" s="26" t="s">
        <v>1341</v>
      </c>
    </row>
    <row r="1804" spans="1:3" x14ac:dyDescent="0.25">
      <c r="A1804" s="36">
        <v>41429</v>
      </c>
      <c r="B1804" s="121">
        <v>0.73954861111111114</v>
      </c>
      <c r="C1804" s="26" t="s">
        <v>1342</v>
      </c>
    </row>
    <row r="1805" spans="1:3" x14ac:dyDescent="0.25">
      <c r="A1805" s="36">
        <v>41429</v>
      </c>
      <c r="B1805" s="121">
        <v>0.73954861111111114</v>
      </c>
      <c r="C1805" s="26" t="s">
        <v>1343</v>
      </c>
    </row>
    <row r="1806" spans="1:3" x14ac:dyDescent="0.25">
      <c r="A1806" s="36">
        <v>41429</v>
      </c>
      <c r="B1806" s="121">
        <v>0.73954861111111114</v>
      </c>
      <c r="C1806" s="26" t="s">
        <v>1344</v>
      </c>
    </row>
    <row r="1807" spans="1:3" x14ac:dyDescent="0.25">
      <c r="A1807" s="36">
        <v>41429</v>
      </c>
      <c r="B1807" s="121">
        <v>0.73954861111111114</v>
      </c>
      <c r="C1807" s="26" t="s">
        <v>1345</v>
      </c>
    </row>
    <row r="1808" spans="1:3" x14ac:dyDescent="0.25">
      <c r="A1808" s="36">
        <v>41429</v>
      </c>
      <c r="B1808" s="121">
        <v>0.73954861111111114</v>
      </c>
      <c r="C1808" s="26" t="s">
        <v>1332</v>
      </c>
    </row>
    <row r="1809" spans="1:3" x14ac:dyDescent="0.25">
      <c r="A1809" s="36">
        <v>41429</v>
      </c>
      <c r="B1809" s="121">
        <v>0.73954861111111114</v>
      </c>
      <c r="C1809" s="26" t="s">
        <v>1346</v>
      </c>
    </row>
    <row r="1810" spans="1:3" x14ac:dyDescent="0.25">
      <c r="A1810" s="36">
        <v>41429</v>
      </c>
      <c r="B1810" s="121">
        <v>0.73954861111111114</v>
      </c>
      <c r="C1810" s="26" t="s">
        <v>1315</v>
      </c>
    </row>
    <row r="1811" spans="1:3" x14ac:dyDescent="0.25">
      <c r="A1811" s="36">
        <v>41429</v>
      </c>
      <c r="B1811" s="121">
        <v>0.73954861111111114</v>
      </c>
      <c r="C1811" s="26" t="s">
        <v>1348</v>
      </c>
    </row>
    <row r="1812" spans="1:3" x14ac:dyDescent="0.25">
      <c r="A1812" s="36">
        <v>41429</v>
      </c>
      <c r="B1812" s="121">
        <v>0.73954861111111114</v>
      </c>
      <c r="C1812" s="26" t="s">
        <v>1314</v>
      </c>
    </row>
    <row r="1813" spans="1:3" x14ac:dyDescent="0.25">
      <c r="A1813" s="36">
        <v>41429</v>
      </c>
      <c r="B1813" s="121">
        <v>0.73954861111111114</v>
      </c>
      <c r="C1813" s="26" t="s">
        <v>1349</v>
      </c>
    </row>
    <row r="1814" spans="1:3" x14ac:dyDescent="0.25">
      <c r="A1814" s="36">
        <v>41429</v>
      </c>
      <c r="B1814" s="121">
        <v>0.73954861111111114</v>
      </c>
      <c r="C1814" s="26" t="s">
        <v>1351</v>
      </c>
    </row>
    <row r="1815" spans="1:3" x14ac:dyDescent="0.25">
      <c r="A1815" s="36">
        <v>41429</v>
      </c>
      <c r="B1815" s="121">
        <v>0.73954861111111114</v>
      </c>
      <c r="C1815" s="26" t="s">
        <v>1352</v>
      </c>
    </row>
    <row r="1816" spans="1:3" x14ac:dyDescent="0.25">
      <c r="A1816" s="36">
        <v>41429</v>
      </c>
      <c r="B1816" s="121">
        <v>0.73954861111111114</v>
      </c>
      <c r="C1816" s="26" t="s">
        <v>1354</v>
      </c>
    </row>
    <row r="1817" spans="1:3" x14ac:dyDescent="0.25">
      <c r="A1817" s="36">
        <v>41429</v>
      </c>
      <c r="B1817" s="121">
        <v>0.73954861111111114</v>
      </c>
      <c r="C1817" s="26" t="s">
        <v>1341</v>
      </c>
    </row>
    <row r="1818" spans="1:3" x14ac:dyDescent="0.25">
      <c r="A1818" s="36">
        <v>41429</v>
      </c>
      <c r="B1818" s="121">
        <v>0.73954861111111114</v>
      </c>
      <c r="C1818" s="26" t="s">
        <v>1486</v>
      </c>
    </row>
    <row r="1819" spans="1:3" x14ac:dyDescent="0.25">
      <c r="A1819" s="36">
        <v>41429</v>
      </c>
      <c r="B1819" s="121">
        <v>0.73954861111111114</v>
      </c>
      <c r="C1819" s="26" t="s">
        <v>1487</v>
      </c>
    </row>
    <row r="1820" spans="1:3" x14ac:dyDescent="0.25">
      <c r="A1820" s="36">
        <v>41429</v>
      </c>
      <c r="B1820" s="121">
        <v>0.73954861111111114</v>
      </c>
      <c r="C1820" s="26" t="s">
        <v>1259</v>
      </c>
    </row>
    <row r="1821" spans="1:3" x14ac:dyDescent="0.25">
      <c r="A1821" s="36">
        <v>41429</v>
      </c>
      <c r="B1821" s="121">
        <v>0.73954861111111114</v>
      </c>
      <c r="C1821" s="26" t="s">
        <v>1488</v>
      </c>
    </row>
    <row r="1822" spans="1:3" x14ac:dyDescent="0.25">
      <c r="A1822" s="36">
        <v>41429</v>
      </c>
      <c r="B1822" s="121">
        <v>0.73954861111111114</v>
      </c>
      <c r="C1822" s="26" t="s">
        <v>1557</v>
      </c>
    </row>
    <row r="1823" spans="1:3" x14ac:dyDescent="0.25">
      <c r="A1823" s="36">
        <v>41429</v>
      </c>
      <c r="B1823" s="121">
        <v>0.73954861111111114</v>
      </c>
      <c r="C1823" s="26" t="s">
        <v>1558</v>
      </c>
    </row>
    <row r="1824" spans="1:3" x14ac:dyDescent="0.25">
      <c r="A1824" s="36">
        <v>41429</v>
      </c>
      <c r="B1824" s="121">
        <v>0.73954861111111114</v>
      </c>
      <c r="C1824" s="26" t="s">
        <v>1559</v>
      </c>
    </row>
    <row r="1825" spans="1:3" x14ac:dyDescent="0.25">
      <c r="A1825" s="36">
        <v>41429</v>
      </c>
      <c r="B1825" s="121">
        <v>0.73954861111111114</v>
      </c>
      <c r="C1825" s="26" t="s">
        <v>1560</v>
      </c>
    </row>
    <row r="1826" spans="1:3" x14ac:dyDescent="0.25">
      <c r="A1826" s="36">
        <v>41429</v>
      </c>
      <c r="B1826" s="121">
        <v>0.73954861111111114</v>
      </c>
      <c r="C1826" s="26" t="s">
        <v>1561</v>
      </c>
    </row>
    <row r="1827" spans="1:3" x14ac:dyDescent="0.25">
      <c r="A1827" s="36">
        <v>41429</v>
      </c>
      <c r="B1827" s="121">
        <v>0.73954861111111114</v>
      </c>
      <c r="C1827" s="26" t="s">
        <v>1342</v>
      </c>
    </row>
    <row r="1828" spans="1:3" x14ac:dyDescent="0.25">
      <c r="A1828" s="36">
        <v>41429</v>
      </c>
      <c r="B1828" s="121">
        <v>0.73954861111111114</v>
      </c>
      <c r="C1828" s="26" t="s">
        <v>1562</v>
      </c>
    </row>
    <row r="1829" spans="1:3" x14ac:dyDescent="0.25">
      <c r="A1829" s="36">
        <v>41429</v>
      </c>
      <c r="B1829" s="121">
        <v>0.73954861111111114</v>
      </c>
      <c r="C1829" s="26" t="s">
        <v>1563</v>
      </c>
    </row>
    <row r="1830" spans="1:3" x14ac:dyDescent="0.25">
      <c r="A1830" s="36">
        <v>41429</v>
      </c>
      <c r="B1830" s="121">
        <v>0.73954861111111114</v>
      </c>
      <c r="C1830" s="26" t="s">
        <v>1586</v>
      </c>
    </row>
    <row r="1831" spans="1:3" x14ac:dyDescent="0.25">
      <c r="A1831" s="36">
        <v>41429</v>
      </c>
      <c r="B1831" s="121">
        <v>0.73954861111111114</v>
      </c>
      <c r="C1831" s="26" t="s">
        <v>1587</v>
      </c>
    </row>
    <row r="1832" spans="1:3" x14ac:dyDescent="0.25">
      <c r="A1832" s="36">
        <v>41429</v>
      </c>
      <c r="B1832" s="121">
        <v>0.73954861111111114</v>
      </c>
      <c r="C1832" s="26" t="s">
        <v>1588</v>
      </c>
    </row>
    <row r="1833" spans="1:3" x14ac:dyDescent="0.25">
      <c r="A1833" s="36">
        <v>41429</v>
      </c>
      <c r="B1833" s="121">
        <v>0.757349537037037</v>
      </c>
      <c r="C1833" s="26" t="s">
        <v>1589</v>
      </c>
    </row>
    <row r="1834" spans="1:3" ht="30" x14ac:dyDescent="0.25">
      <c r="A1834" s="36">
        <v>41429</v>
      </c>
      <c r="B1834" s="121">
        <v>0.75773148148148151</v>
      </c>
      <c r="C1834" s="831" t="s">
        <v>1590</v>
      </c>
    </row>
    <row r="1835" spans="1:3" ht="45" x14ac:dyDescent="0.25">
      <c r="A1835" s="36">
        <v>41429</v>
      </c>
      <c r="B1835" s="121">
        <v>0.75918981481481485</v>
      </c>
      <c r="C1835" s="831" t="s">
        <v>1591</v>
      </c>
    </row>
    <row r="1836" spans="1:3" x14ac:dyDescent="0.25">
      <c r="A1836" s="36">
        <v>41429</v>
      </c>
      <c r="B1836" s="121">
        <v>0.76393518518518511</v>
      </c>
      <c r="C1836" s="26" t="s">
        <v>1592</v>
      </c>
    </row>
    <row r="1837" spans="1:3" ht="30" x14ac:dyDescent="0.25">
      <c r="A1837" s="36">
        <v>41429</v>
      </c>
      <c r="B1837" s="121">
        <v>0.76398148148148148</v>
      </c>
      <c r="C1837" s="831" t="s">
        <v>1593</v>
      </c>
    </row>
    <row r="1838" spans="1:3" x14ac:dyDescent="0.25">
      <c r="A1838" s="36">
        <v>41429</v>
      </c>
      <c r="B1838" s="121">
        <v>0.78901620370370373</v>
      </c>
      <c r="C1838" s="26" t="s">
        <v>1594</v>
      </c>
    </row>
    <row r="1839" spans="1:3" ht="45" x14ac:dyDescent="0.25">
      <c r="A1839" s="36">
        <v>41429</v>
      </c>
      <c r="B1839" s="121">
        <v>0.79075231481481489</v>
      </c>
      <c r="C1839" s="831" t="s">
        <v>1595</v>
      </c>
    </row>
    <row r="1840" spans="1:3" ht="45" x14ac:dyDescent="0.25">
      <c r="A1840" s="36">
        <v>41429</v>
      </c>
      <c r="B1840" s="121">
        <v>0.79109953703703706</v>
      </c>
      <c r="C1840" s="831" t="s">
        <v>1596</v>
      </c>
    </row>
    <row r="1841" spans="1:3" ht="30" x14ac:dyDescent="0.25">
      <c r="A1841" s="36">
        <v>41429</v>
      </c>
      <c r="B1841" s="121">
        <v>0.79115740740740748</v>
      </c>
      <c r="C1841" s="831" t="s">
        <v>1597</v>
      </c>
    </row>
    <row r="1842" spans="1:3" x14ac:dyDescent="0.25">
      <c r="A1842" s="36">
        <v>41429</v>
      </c>
      <c r="B1842" s="121">
        <v>0.79245370370370372</v>
      </c>
      <c r="C1842" s="26" t="s">
        <v>1229</v>
      </c>
    </row>
    <row r="1843" spans="1:3" x14ac:dyDescent="0.25">
      <c r="A1843" s="36">
        <v>41429</v>
      </c>
      <c r="B1843" s="121">
        <v>0.79245370370370372</v>
      </c>
      <c r="C1843" s="26" t="s">
        <v>1230</v>
      </c>
    </row>
    <row r="1844" spans="1:3" x14ac:dyDescent="0.25">
      <c r="A1844" s="36">
        <v>41429</v>
      </c>
      <c r="B1844" s="121">
        <v>0.79245370370370372</v>
      </c>
      <c r="C1844" s="26" t="s">
        <v>1231</v>
      </c>
    </row>
    <row r="1845" spans="1:3" x14ac:dyDescent="0.25">
      <c r="A1845" s="36">
        <v>41429</v>
      </c>
      <c r="B1845" s="121">
        <v>0.79245370370370372</v>
      </c>
      <c r="C1845" s="26" t="s">
        <v>1232</v>
      </c>
    </row>
    <row r="1846" spans="1:3" x14ac:dyDescent="0.25">
      <c r="A1846" s="36">
        <v>41429</v>
      </c>
      <c r="B1846" s="121">
        <v>0.79245370370370372</v>
      </c>
      <c r="C1846" s="26" t="s">
        <v>1233</v>
      </c>
    </row>
    <row r="1847" spans="1:3" x14ac:dyDescent="0.25">
      <c r="A1847" s="36">
        <v>41429</v>
      </c>
      <c r="B1847" s="121">
        <v>0.79245370370370372</v>
      </c>
      <c r="C1847" s="26" t="s">
        <v>1234</v>
      </c>
    </row>
    <row r="1848" spans="1:3" x14ac:dyDescent="0.25">
      <c r="A1848" s="36">
        <v>41429</v>
      </c>
      <c r="B1848" s="121">
        <v>0.79245370370370372</v>
      </c>
      <c r="C1848" s="26" t="s">
        <v>1235</v>
      </c>
    </row>
    <row r="1849" spans="1:3" x14ac:dyDescent="0.25">
      <c r="A1849" s="36">
        <v>41429</v>
      </c>
      <c r="B1849" s="121">
        <v>0.79245370370370372</v>
      </c>
      <c r="C1849" s="26" t="s">
        <v>1236</v>
      </c>
    </row>
    <row r="1850" spans="1:3" x14ac:dyDescent="0.25">
      <c r="A1850" s="36">
        <v>41429</v>
      </c>
      <c r="B1850" s="121">
        <v>0.79245370370370372</v>
      </c>
      <c r="C1850" s="26" t="s">
        <v>1237</v>
      </c>
    </row>
    <row r="1851" spans="1:3" x14ac:dyDescent="0.25">
      <c r="A1851" s="36">
        <v>41429</v>
      </c>
      <c r="B1851" s="121">
        <v>0.79245370370370372</v>
      </c>
      <c r="C1851" s="26" t="s">
        <v>1238</v>
      </c>
    </row>
    <row r="1852" spans="1:3" x14ac:dyDescent="0.25">
      <c r="A1852" s="36">
        <v>41429</v>
      </c>
      <c r="B1852" s="121">
        <v>0.79245370370370372</v>
      </c>
      <c r="C1852" s="26" t="s">
        <v>1239</v>
      </c>
    </row>
    <row r="1853" spans="1:3" x14ac:dyDescent="0.25">
      <c r="A1853" s="36">
        <v>41429</v>
      </c>
      <c r="B1853" s="121">
        <v>0.79245370370370372</v>
      </c>
      <c r="C1853" s="26" t="s">
        <v>1240</v>
      </c>
    </row>
    <row r="1854" spans="1:3" x14ac:dyDescent="0.25">
      <c r="A1854" s="36">
        <v>41429</v>
      </c>
      <c r="B1854" s="121">
        <v>0.79245370370370372</v>
      </c>
      <c r="C1854" s="26" t="s">
        <v>1241</v>
      </c>
    </row>
    <row r="1855" spans="1:3" x14ac:dyDescent="0.25">
      <c r="A1855" s="36">
        <v>41429</v>
      </c>
      <c r="B1855" s="121">
        <v>0.79245370370370372</v>
      </c>
      <c r="C1855" s="26" t="s">
        <v>1242</v>
      </c>
    </row>
    <row r="1856" spans="1:3" x14ac:dyDescent="0.25">
      <c r="A1856" s="36">
        <v>41429</v>
      </c>
      <c r="B1856" s="121">
        <v>0.79245370370370372</v>
      </c>
      <c r="C1856" s="26" t="s">
        <v>1243</v>
      </c>
    </row>
    <row r="1857" spans="1:3" x14ac:dyDescent="0.25">
      <c r="A1857" s="36">
        <v>41429</v>
      </c>
      <c r="B1857" s="121">
        <v>0.79245370370370372</v>
      </c>
      <c r="C1857" s="26" t="s">
        <v>1244</v>
      </c>
    </row>
    <row r="1858" spans="1:3" x14ac:dyDescent="0.25">
      <c r="A1858" s="36">
        <v>41429</v>
      </c>
      <c r="B1858" s="121">
        <v>0.79245370370370372</v>
      </c>
      <c r="C1858" s="26" t="s">
        <v>1245</v>
      </c>
    </row>
    <row r="1859" spans="1:3" x14ac:dyDescent="0.25">
      <c r="A1859" s="36">
        <v>41429</v>
      </c>
      <c r="B1859" s="121">
        <v>0.79245370370370372</v>
      </c>
      <c r="C1859" s="26" t="s">
        <v>1233</v>
      </c>
    </row>
    <row r="1860" spans="1:3" x14ac:dyDescent="0.25">
      <c r="A1860" s="36">
        <v>41429</v>
      </c>
      <c r="B1860" s="121">
        <v>0.79245370370370372</v>
      </c>
      <c r="C1860" s="26" t="s">
        <v>1248</v>
      </c>
    </row>
    <row r="1861" spans="1:3" x14ac:dyDescent="0.25">
      <c r="A1861" s="36">
        <v>41429</v>
      </c>
      <c r="B1861" s="121">
        <v>0.79245370370370372</v>
      </c>
      <c r="C1861" s="26" t="s">
        <v>1249</v>
      </c>
    </row>
    <row r="1862" spans="1:3" x14ac:dyDescent="0.25">
      <c r="A1862" s="36">
        <v>41429</v>
      </c>
      <c r="B1862" s="121">
        <v>0.79245370370370372</v>
      </c>
      <c r="C1862" s="26" t="s">
        <v>1250</v>
      </c>
    </row>
    <row r="1863" spans="1:3" x14ac:dyDescent="0.25">
      <c r="A1863" s="36">
        <v>41429</v>
      </c>
      <c r="B1863" s="121">
        <v>0.79246527777777775</v>
      </c>
      <c r="C1863" s="26" t="s">
        <v>1251</v>
      </c>
    </row>
    <row r="1864" spans="1:3" x14ac:dyDescent="0.25">
      <c r="A1864" s="36">
        <v>41429</v>
      </c>
      <c r="B1864" s="121">
        <v>0.79246527777777775</v>
      </c>
      <c r="C1864" s="26" t="s">
        <v>1252</v>
      </c>
    </row>
    <row r="1865" spans="1:3" x14ac:dyDescent="0.25">
      <c r="A1865" s="36">
        <v>41429</v>
      </c>
      <c r="B1865" s="121">
        <v>0.79246527777777775</v>
      </c>
      <c r="C1865" s="26" t="s">
        <v>1253</v>
      </c>
    </row>
    <row r="1866" spans="1:3" x14ac:dyDescent="0.25">
      <c r="A1866" s="36">
        <v>41429</v>
      </c>
      <c r="B1866" s="121">
        <v>0.79246527777777775</v>
      </c>
      <c r="C1866" s="26" t="s">
        <v>1254</v>
      </c>
    </row>
    <row r="1867" spans="1:3" x14ac:dyDescent="0.25">
      <c r="A1867" s="36">
        <v>41429</v>
      </c>
      <c r="B1867" s="121">
        <v>0.79246527777777775</v>
      </c>
      <c r="C1867" s="26" t="s">
        <v>1255</v>
      </c>
    </row>
    <row r="1868" spans="1:3" x14ac:dyDescent="0.25">
      <c r="A1868" s="36">
        <v>41429</v>
      </c>
      <c r="B1868" s="121">
        <v>0.79246527777777775</v>
      </c>
      <c r="C1868" s="26" t="s">
        <v>1236</v>
      </c>
    </row>
    <row r="1869" spans="1:3" x14ac:dyDescent="0.25">
      <c r="A1869" s="36">
        <v>41429</v>
      </c>
      <c r="B1869" s="121">
        <v>0.79246527777777775</v>
      </c>
      <c r="C1869" s="26" t="s">
        <v>1257</v>
      </c>
    </row>
    <row r="1870" spans="1:3" x14ac:dyDescent="0.25">
      <c r="A1870" s="36">
        <v>41429</v>
      </c>
      <c r="B1870" s="121">
        <v>0.79246527777777775</v>
      </c>
      <c r="C1870" s="26" t="s">
        <v>1258</v>
      </c>
    </row>
    <row r="1871" spans="1:3" x14ac:dyDescent="0.25">
      <c r="A1871" s="36">
        <v>41429</v>
      </c>
      <c r="B1871" s="121">
        <v>0.79246527777777775</v>
      </c>
      <c r="C1871" s="26" t="s">
        <v>1259</v>
      </c>
    </row>
    <row r="1872" spans="1:3" x14ac:dyDescent="0.25">
      <c r="A1872" s="36">
        <v>41429</v>
      </c>
      <c r="B1872" s="121">
        <v>0.79246527777777775</v>
      </c>
      <c r="C1872" s="26" t="s">
        <v>1260</v>
      </c>
    </row>
    <row r="1873" spans="1:3" x14ac:dyDescent="0.25">
      <c r="A1873" s="36">
        <v>41429</v>
      </c>
      <c r="B1873" s="121">
        <v>0.79246527777777775</v>
      </c>
      <c r="C1873" s="26" t="s">
        <v>1260</v>
      </c>
    </row>
    <row r="1874" spans="1:3" x14ac:dyDescent="0.25">
      <c r="A1874" s="36">
        <v>41429</v>
      </c>
      <c r="B1874" s="121">
        <v>0.79246527777777775</v>
      </c>
      <c r="C1874" s="26" t="s">
        <v>1261</v>
      </c>
    </row>
    <row r="1875" spans="1:3" x14ac:dyDescent="0.25">
      <c r="A1875" s="36">
        <v>41429</v>
      </c>
      <c r="B1875" s="121">
        <v>0.79246527777777775</v>
      </c>
      <c r="C1875" s="26" t="s">
        <v>1260</v>
      </c>
    </row>
    <row r="1876" spans="1:3" x14ac:dyDescent="0.25">
      <c r="A1876" s="36">
        <v>41429</v>
      </c>
      <c r="B1876" s="121">
        <v>0.79246527777777775</v>
      </c>
      <c r="C1876" s="26" t="s">
        <v>1260</v>
      </c>
    </row>
    <row r="1877" spans="1:3" x14ac:dyDescent="0.25">
      <c r="A1877" s="36">
        <v>41429</v>
      </c>
      <c r="B1877" s="121">
        <v>0.79246527777777775</v>
      </c>
      <c r="C1877" s="26" t="s">
        <v>1236</v>
      </c>
    </row>
    <row r="1878" spans="1:3" x14ac:dyDescent="0.25">
      <c r="A1878" s="36">
        <v>41429</v>
      </c>
      <c r="B1878" s="121">
        <v>0.79246527777777775</v>
      </c>
      <c r="C1878" s="26" t="s">
        <v>1262</v>
      </c>
    </row>
    <row r="1879" spans="1:3" x14ac:dyDescent="0.25">
      <c r="A1879" s="36">
        <v>41429</v>
      </c>
      <c r="B1879" s="121">
        <v>0.79246527777777775</v>
      </c>
      <c r="C1879" s="26" t="s">
        <v>1254</v>
      </c>
    </row>
    <row r="1880" spans="1:3" x14ac:dyDescent="0.25">
      <c r="A1880" s="36">
        <v>41429</v>
      </c>
      <c r="B1880" s="121">
        <v>0.79246527777777775</v>
      </c>
      <c r="C1880" s="26" t="s">
        <v>1254</v>
      </c>
    </row>
    <row r="1881" spans="1:3" x14ac:dyDescent="0.25">
      <c r="A1881" s="36">
        <v>41429</v>
      </c>
      <c r="B1881" s="121">
        <v>0.79246527777777775</v>
      </c>
      <c r="C1881" s="26" t="s">
        <v>1263</v>
      </c>
    </row>
    <row r="1882" spans="1:3" x14ac:dyDescent="0.25">
      <c r="A1882" s="36">
        <v>41429</v>
      </c>
      <c r="B1882" s="121">
        <v>0.79246527777777775</v>
      </c>
      <c r="C1882" s="26" t="s">
        <v>1254</v>
      </c>
    </row>
    <row r="1883" spans="1:3" x14ac:dyDescent="0.25">
      <c r="A1883" s="36">
        <v>41429</v>
      </c>
      <c r="B1883" s="121">
        <v>0.79246527777777775</v>
      </c>
      <c r="C1883" s="26" t="s">
        <v>1252</v>
      </c>
    </row>
    <row r="1884" spans="1:3" x14ac:dyDescent="0.25">
      <c r="A1884" s="36">
        <v>41429</v>
      </c>
      <c r="B1884" s="121">
        <v>0.79246527777777775</v>
      </c>
      <c r="C1884" s="26" t="s">
        <v>1260</v>
      </c>
    </row>
    <row r="1885" spans="1:3" x14ac:dyDescent="0.25">
      <c r="A1885" s="36">
        <v>41429</v>
      </c>
      <c r="B1885" s="121">
        <v>0.79246527777777775</v>
      </c>
      <c r="C1885" s="26" t="s">
        <v>1264</v>
      </c>
    </row>
    <row r="1886" spans="1:3" x14ac:dyDescent="0.25">
      <c r="A1886" s="36">
        <v>41429</v>
      </c>
      <c r="B1886" s="121">
        <v>0.79246527777777775</v>
      </c>
      <c r="C1886" s="26" t="s">
        <v>1265</v>
      </c>
    </row>
    <row r="1887" spans="1:3" x14ac:dyDescent="0.25">
      <c r="A1887" s="36">
        <v>41429</v>
      </c>
      <c r="B1887" s="121">
        <v>0.79246527777777775</v>
      </c>
      <c r="C1887" s="26" t="s">
        <v>1260</v>
      </c>
    </row>
    <row r="1888" spans="1:3" x14ac:dyDescent="0.25">
      <c r="A1888" s="36">
        <v>41429</v>
      </c>
      <c r="B1888" s="121">
        <v>0.7924768518518519</v>
      </c>
      <c r="C1888" s="26" t="s">
        <v>1267</v>
      </c>
    </row>
    <row r="1889" spans="1:3" x14ac:dyDescent="0.25">
      <c r="A1889" s="36">
        <v>41429</v>
      </c>
      <c r="B1889" s="121">
        <v>0.7924768518518519</v>
      </c>
      <c r="C1889" s="26" t="s">
        <v>1268</v>
      </c>
    </row>
    <row r="1890" spans="1:3" x14ac:dyDescent="0.25">
      <c r="A1890" s="36">
        <v>41429</v>
      </c>
      <c r="B1890" s="121">
        <v>0.7924768518518519</v>
      </c>
      <c r="C1890" s="26" t="s">
        <v>1269</v>
      </c>
    </row>
    <row r="1891" spans="1:3" x14ac:dyDescent="0.25">
      <c r="A1891" s="36">
        <v>41429</v>
      </c>
      <c r="B1891" s="121">
        <v>0.7924768518518519</v>
      </c>
      <c r="C1891" s="26" t="s">
        <v>1270</v>
      </c>
    </row>
    <row r="1892" spans="1:3" x14ac:dyDescent="0.25">
      <c r="A1892" s="36">
        <v>41429</v>
      </c>
      <c r="B1892" s="121">
        <v>0.7924768518518519</v>
      </c>
      <c r="C1892" s="26" t="s">
        <v>1271</v>
      </c>
    </row>
    <row r="1893" spans="1:3" x14ac:dyDescent="0.25">
      <c r="A1893" s="36">
        <v>41429</v>
      </c>
      <c r="B1893" s="121">
        <v>0.7924768518518519</v>
      </c>
      <c r="C1893" s="26" t="s">
        <v>1272</v>
      </c>
    </row>
    <row r="1894" spans="1:3" x14ac:dyDescent="0.25">
      <c r="A1894" s="36">
        <v>41429</v>
      </c>
      <c r="B1894" s="121">
        <v>0.7924768518518519</v>
      </c>
      <c r="C1894" s="26" t="s">
        <v>1273</v>
      </c>
    </row>
    <row r="1895" spans="1:3" x14ac:dyDescent="0.25">
      <c r="A1895" s="36">
        <v>41429</v>
      </c>
      <c r="B1895" s="121">
        <v>0.7924768518518519</v>
      </c>
      <c r="C1895" s="26" t="s">
        <v>1274</v>
      </c>
    </row>
    <row r="1896" spans="1:3" x14ac:dyDescent="0.25">
      <c r="A1896" s="36">
        <v>41429</v>
      </c>
      <c r="B1896" s="121">
        <v>0.7924768518518519</v>
      </c>
      <c r="C1896" s="26" t="s">
        <v>1275</v>
      </c>
    </row>
    <row r="1897" spans="1:3" x14ac:dyDescent="0.25">
      <c r="A1897" s="36">
        <v>41429</v>
      </c>
      <c r="B1897" s="121">
        <v>0.7924768518518519</v>
      </c>
      <c r="C1897" s="26" t="s">
        <v>1276</v>
      </c>
    </row>
    <row r="1898" spans="1:3" x14ac:dyDescent="0.25">
      <c r="A1898" s="36">
        <v>41429</v>
      </c>
      <c r="B1898" s="121">
        <v>0.7924768518518519</v>
      </c>
      <c r="C1898" s="26" t="s">
        <v>1277</v>
      </c>
    </row>
    <row r="1899" spans="1:3" x14ac:dyDescent="0.25">
      <c r="A1899" s="36">
        <v>41429</v>
      </c>
      <c r="B1899" s="121">
        <v>0.7924768518518519</v>
      </c>
      <c r="C1899" s="26" t="s">
        <v>1260</v>
      </c>
    </row>
    <row r="1900" spans="1:3" x14ac:dyDescent="0.25">
      <c r="A1900" s="36">
        <v>41429</v>
      </c>
      <c r="B1900" s="121">
        <v>0.7924768518518519</v>
      </c>
      <c r="C1900" s="26" t="s">
        <v>1277</v>
      </c>
    </row>
    <row r="1901" spans="1:3" x14ac:dyDescent="0.25">
      <c r="A1901" s="36">
        <v>41429</v>
      </c>
      <c r="B1901" s="121">
        <v>0.7924768518518519</v>
      </c>
      <c r="C1901" s="26" t="s">
        <v>1278</v>
      </c>
    </row>
    <row r="1902" spans="1:3" x14ac:dyDescent="0.25">
      <c r="A1902" s="36">
        <v>41429</v>
      </c>
      <c r="B1902" s="121">
        <v>0.7924768518518519</v>
      </c>
      <c r="C1902" s="26" t="s">
        <v>1277</v>
      </c>
    </row>
    <row r="1903" spans="1:3" x14ac:dyDescent="0.25">
      <c r="A1903" s="36">
        <v>41429</v>
      </c>
      <c r="B1903" s="121">
        <v>0.7924768518518519</v>
      </c>
      <c r="C1903" s="26" t="s">
        <v>1277</v>
      </c>
    </row>
    <row r="1904" spans="1:3" x14ac:dyDescent="0.25">
      <c r="A1904" s="36">
        <v>41429</v>
      </c>
      <c r="B1904" s="121">
        <v>0.7924768518518519</v>
      </c>
      <c r="C1904" s="26" t="s">
        <v>1281</v>
      </c>
    </row>
    <row r="1905" spans="1:3" x14ac:dyDescent="0.25">
      <c r="A1905" s="36">
        <v>41429</v>
      </c>
      <c r="B1905" s="121">
        <v>0.7924768518518519</v>
      </c>
      <c r="C1905" s="26" t="s">
        <v>1282</v>
      </c>
    </row>
    <row r="1906" spans="1:3" x14ac:dyDescent="0.25">
      <c r="A1906" s="36">
        <v>41429</v>
      </c>
      <c r="B1906" s="121">
        <v>0.7924768518518519</v>
      </c>
      <c r="C1906" s="26" t="s">
        <v>1283</v>
      </c>
    </row>
    <row r="1907" spans="1:3" x14ac:dyDescent="0.25">
      <c r="A1907" s="36">
        <v>41429</v>
      </c>
      <c r="B1907" s="121">
        <v>0.7924768518518519</v>
      </c>
      <c r="C1907" s="26" t="s">
        <v>1284</v>
      </c>
    </row>
    <row r="1908" spans="1:3" x14ac:dyDescent="0.25">
      <c r="A1908" s="36">
        <v>41429</v>
      </c>
      <c r="B1908" s="121">
        <v>0.7924768518518519</v>
      </c>
      <c r="C1908" s="26" t="s">
        <v>1284</v>
      </c>
    </row>
    <row r="1909" spans="1:3" x14ac:dyDescent="0.25">
      <c r="A1909" s="36">
        <v>41429</v>
      </c>
      <c r="B1909" s="121">
        <v>0.7924768518518519</v>
      </c>
      <c r="C1909" s="26" t="s">
        <v>1285</v>
      </c>
    </row>
    <row r="1910" spans="1:3" x14ac:dyDescent="0.25">
      <c r="A1910" s="36">
        <v>41429</v>
      </c>
      <c r="B1910" s="121">
        <v>0.7924768518518519</v>
      </c>
      <c r="C1910" s="26" t="s">
        <v>1286</v>
      </c>
    </row>
    <row r="1911" spans="1:3" x14ac:dyDescent="0.25">
      <c r="A1911" s="36">
        <v>41429</v>
      </c>
      <c r="B1911" s="121">
        <v>0.7924768518518519</v>
      </c>
      <c r="C1911" s="26" t="s">
        <v>1287</v>
      </c>
    </row>
    <row r="1912" spans="1:3" x14ac:dyDescent="0.25">
      <c r="A1912" s="36">
        <v>41429</v>
      </c>
      <c r="B1912" s="121">
        <v>0.7924768518518519</v>
      </c>
      <c r="C1912" s="26" t="s">
        <v>1288</v>
      </c>
    </row>
    <row r="1913" spans="1:3" x14ac:dyDescent="0.25">
      <c r="A1913" s="36">
        <v>41429</v>
      </c>
      <c r="B1913" s="121">
        <v>0.7924768518518519</v>
      </c>
      <c r="C1913" s="26" t="s">
        <v>1289</v>
      </c>
    </row>
    <row r="1914" spans="1:3" x14ac:dyDescent="0.25">
      <c r="A1914" s="36">
        <v>41429</v>
      </c>
      <c r="B1914" s="121">
        <v>0.7924768518518519</v>
      </c>
      <c r="C1914" s="26" t="s">
        <v>1263</v>
      </c>
    </row>
    <row r="1915" spans="1:3" x14ac:dyDescent="0.25">
      <c r="A1915" s="36">
        <v>41429</v>
      </c>
      <c r="B1915" s="121">
        <v>0.7924768518518519</v>
      </c>
      <c r="C1915" s="26" t="s">
        <v>1290</v>
      </c>
    </row>
    <row r="1916" spans="1:3" x14ac:dyDescent="0.25">
      <c r="A1916" s="36">
        <v>41429</v>
      </c>
      <c r="B1916" s="121">
        <v>0.7924768518518519</v>
      </c>
      <c r="C1916" s="26" t="s">
        <v>1291</v>
      </c>
    </row>
    <row r="1917" spans="1:3" x14ac:dyDescent="0.25">
      <c r="A1917" s="36">
        <v>41429</v>
      </c>
      <c r="B1917" s="121">
        <v>0.7924768518518519</v>
      </c>
      <c r="C1917" s="26" t="s">
        <v>1293</v>
      </c>
    </row>
    <row r="1918" spans="1:3" x14ac:dyDescent="0.25">
      <c r="A1918" s="36">
        <v>41429</v>
      </c>
      <c r="B1918" s="121">
        <v>0.7924768518518519</v>
      </c>
      <c r="C1918" s="26" t="s">
        <v>1294</v>
      </c>
    </row>
    <row r="1919" spans="1:3" x14ac:dyDescent="0.25">
      <c r="A1919" s="36">
        <v>41429</v>
      </c>
      <c r="B1919" s="121">
        <v>0.7924768518518519</v>
      </c>
      <c r="C1919" s="26" t="s">
        <v>1295</v>
      </c>
    </row>
    <row r="1920" spans="1:3" x14ac:dyDescent="0.25">
      <c r="A1920" s="36">
        <v>41429</v>
      </c>
      <c r="B1920" s="121">
        <v>0.7924768518518519</v>
      </c>
      <c r="C1920" s="26" t="s">
        <v>1299</v>
      </c>
    </row>
    <row r="1921" spans="1:3" x14ac:dyDescent="0.25">
      <c r="A1921" s="36">
        <v>41429</v>
      </c>
      <c r="B1921" s="121">
        <v>0.7924768518518519</v>
      </c>
      <c r="C1921" s="26" t="s">
        <v>1267</v>
      </c>
    </row>
    <row r="1922" spans="1:3" x14ac:dyDescent="0.25">
      <c r="A1922" s="36">
        <v>41429</v>
      </c>
      <c r="B1922" s="121">
        <v>0.7924768518518519</v>
      </c>
      <c r="C1922" s="26" t="s">
        <v>1301</v>
      </c>
    </row>
    <row r="1923" spans="1:3" x14ac:dyDescent="0.25">
      <c r="A1923" s="36">
        <v>41429</v>
      </c>
      <c r="B1923" s="121">
        <v>0.7924768518518519</v>
      </c>
      <c r="C1923" s="26" t="s">
        <v>1302</v>
      </c>
    </row>
    <row r="1924" spans="1:3" x14ac:dyDescent="0.25">
      <c r="A1924" s="36">
        <v>41429</v>
      </c>
      <c r="B1924" s="121">
        <v>0.7924768518518519</v>
      </c>
      <c r="C1924" s="26" t="s">
        <v>1303</v>
      </c>
    </row>
    <row r="1925" spans="1:3" x14ac:dyDescent="0.25">
      <c r="A1925" s="36">
        <v>41429</v>
      </c>
      <c r="B1925" s="121">
        <v>0.7924768518518519</v>
      </c>
      <c r="C1925" s="26" t="s">
        <v>1304</v>
      </c>
    </row>
    <row r="1926" spans="1:3" x14ac:dyDescent="0.25">
      <c r="A1926" s="36">
        <v>41429</v>
      </c>
      <c r="B1926" s="121">
        <v>0.7924768518518519</v>
      </c>
      <c r="C1926" s="26" t="s">
        <v>1252</v>
      </c>
    </row>
    <row r="1927" spans="1:3" x14ac:dyDescent="0.25">
      <c r="A1927" s="36">
        <v>41429</v>
      </c>
      <c r="B1927" s="121">
        <v>0.7924768518518519</v>
      </c>
      <c r="C1927" s="26" t="s">
        <v>1305</v>
      </c>
    </row>
    <row r="1928" spans="1:3" x14ac:dyDescent="0.25">
      <c r="A1928" s="36">
        <v>41429</v>
      </c>
      <c r="B1928" s="121">
        <v>0.7924768518518519</v>
      </c>
      <c r="C1928" s="26" t="s">
        <v>1306</v>
      </c>
    </row>
    <row r="1929" spans="1:3" x14ac:dyDescent="0.25">
      <c r="A1929" s="36">
        <v>41429</v>
      </c>
      <c r="B1929" s="121">
        <v>0.7924768518518519</v>
      </c>
      <c r="C1929" s="26" t="s">
        <v>1290</v>
      </c>
    </row>
    <row r="1930" spans="1:3" x14ac:dyDescent="0.25">
      <c r="A1930" s="36">
        <v>41429</v>
      </c>
      <c r="B1930" s="121">
        <v>0.7924768518518519</v>
      </c>
      <c r="C1930" s="26" t="s">
        <v>1308</v>
      </c>
    </row>
    <row r="1931" spans="1:3" x14ac:dyDescent="0.25">
      <c r="A1931" s="36">
        <v>41429</v>
      </c>
      <c r="B1931" s="121">
        <v>0.7924768518518519</v>
      </c>
      <c r="C1931" s="26" t="s">
        <v>1308</v>
      </c>
    </row>
    <row r="1932" spans="1:3" x14ac:dyDescent="0.25">
      <c r="A1932" s="36">
        <v>41429</v>
      </c>
      <c r="B1932" s="121">
        <v>0.7924768518518519</v>
      </c>
      <c r="C1932" s="26" t="s">
        <v>1309</v>
      </c>
    </row>
    <row r="1933" spans="1:3" x14ac:dyDescent="0.25">
      <c r="A1933" s="36">
        <v>41429</v>
      </c>
      <c r="B1933" s="121">
        <v>0.7924768518518519</v>
      </c>
      <c r="C1933" s="26" t="s">
        <v>1303</v>
      </c>
    </row>
    <row r="1934" spans="1:3" x14ac:dyDescent="0.25">
      <c r="A1934" s="36">
        <v>41429</v>
      </c>
      <c r="B1934" s="121">
        <v>0.7924768518518519</v>
      </c>
      <c r="C1934" s="26" t="s">
        <v>1310</v>
      </c>
    </row>
    <row r="1935" spans="1:3" x14ac:dyDescent="0.25">
      <c r="A1935" s="36">
        <v>41429</v>
      </c>
      <c r="B1935" s="121">
        <v>0.7924768518518519</v>
      </c>
      <c r="C1935" s="26" t="s">
        <v>1311</v>
      </c>
    </row>
    <row r="1936" spans="1:3" x14ac:dyDescent="0.25">
      <c r="A1936" s="36">
        <v>41429</v>
      </c>
      <c r="B1936" s="121">
        <v>0.7924768518518519</v>
      </c>
      <c r="C1936" s="26" t="s">
        <v>1312</v>
      </c>
    </row>
    <row r="1937" spans="1:3" x14ac:dyDescent="0.25">
      <c r="A1937" s="36">
        <v>41429</v>
      </c>
      <c r="B1937" s="121">
        <v>0.7924768518518519</v>
      </c>
      <c r="C1937" s="26" t="s">
        <v>1273</v>
      </c>
    </row>
    <row r="1938" spans="1:3" x14ac:dyDescent="0.25">
      <c r="A1938" s="36">
        <v>41429</v>
      </c>
      <c r="B1938" s="121">
        <v>0.7924768518518519</v>
      </c>
      <c r="C1938" s="26" t="s">
        <v>1313</v>
      </c>
    </row>
    <row r="1939" spans="1:3" x14ac:dyDescent="0.25">
      <c r="A1939" s="36">
        <v>41429</v>
      </c>
      <c r="B1939" s="121">
        <v>0.7924768518518519</v>
      </c>
      <c r="C1939" s="26" t="s">
        <v>1314</v>
      </c>
    </row>
    <row r="1940" spans="1:3" x14ac:dyDescent="0.25">
      <c r="A1940" s="36">
        <v>41429</v>
      </c>
      <c r="B1940" s="121">
        <v>0.7924768518518519</v>
      </c>
      <c r="C1940" s="26" t="s">
        <v>1315</v>
      </c>
    </row>
    <row r="1941" spans="1:3" x14ac:dyDescent="0.25">
      <c r="A1941" s="36">
        <v>41429</v>
      </c>
      <c r="B1941" s="121">
        <v>0.7924768518518519</v>
      </c>
      <c r="C1941" s="26" t="s">
        <v>1310</v>
      </c>
    </row>
    <row r="1942" spans="1:3" x14ac:dyDescent="0.25">
      <c r="A1942" s="36">
        <v>41429</v>
      </c>
      <c r="B1942" s="121">
        <v>0.7924768518518519</v>
      </c>
      <c r="C1942" s="26" t="s">
        <v>1316</v>
      </c>
    </row>
    <row r="1943" spans="1:3" x14ac:dyDescent="0.25">
      <c r="A1943" s="36">
        <v>41429</v>
      </c>
      <c r="B1943" s="121">
        <v>0.7924768518518519</v>
      </c>
      <c r="C1943" s="26" t="s">
        <v>1317</v>
      </c>
    </row>
    <row r="1944" spans="1:3" x14ac:dyDescent="0.25">
      <c r="A1944" s="36">
        <v>41429</v>
      </c>
      <c r="B1944" s="121">
        <v>0.7924768518518519</v>
      </c>
      <c r="C1944" s="26" t="s">
        <v>1254</v>
      </c>
    </row>
    <row r="1945" spans="1:3" x14ac:dyDescent="0.25">
      <c r="A1945" s="36">
        <v>41429</v>
      </c>
      <c r="B1945" s="121">
        <v>0.7924768518518519</v>
      </c>
      <c r="C1945" s="26" t="s">
        <v>1254</v>
      </c>
    </row>
    <row r="1946" spans="1:3" x14ac:dyDescent="0.25">
      <c r="A1946" s="36">
        <v>41429</v>
      </c>
      <c r="B1946" s="121">
        <v>0.7924768518518519</v>
      </c>
      <c r="C1946" s="26" t="s">
        <v>1254</v>
      </c>
    </row>
    <row r="1947" spans="1:3" x14ac:dyDescent="0.25">
      <c r="A1947" s="36">
        <v>41429</v>
      </c>
      <c r="B1947" s="121">
        <v>0.7924768518518519</v>
      </c>
      <c r="C1947" s="26" t="s">
        <v>1318</v>
      </c>
    </row>
    <row r="1948" spans="1:3" x14ac:dyDescent="0.25">
      <c r="A1948" s="36">
        <v>41429</v>
      </c>
      <c r="B1948" s="121">
        <v>0.7924768518518519</v>
      </c>
      <c r="C1948" s="26" t="s">
        <v>1319</v>
      </c>
    </row>
    <row r="1949" spans="1:3" x14ac:dyDescent="0.25">
      <c r="A1949" s="36">
        <v>41429</v>
      </c>
      <c r="B1949" s="121">
        <v>0.7924768518518519</v>
      </c>
      <c r="C1949" s="26" t="s">
        <v>1265</v>
      </c>
    </row>
    <row r="1950" spans="1:3" x14ac:dyDescent="0.25">
      <c r="A1950" s="36">
        <v>41429</v>
      </c>
      <c r="B1950" s="121">
        <v>0.7924768518518519</v>
      </c>
      <c r="C1950" s="26" t="s">
        <v>1322</v>
      </c>
    </row>
    <row r="1951" spans="1:3" x14ac:dyDescent="0.25">
      <c r="A1951" s="36">
        <v>41429</v>
      </c>
      <c r="B1951" s="121">
        <v>0.7924768518518519</v>
      </c>
      <c r="C1951" s="26" t="s">
        <v>1323</v>
      </c>
    </row>
    <row r="1952" spans="1:3" x14ac:dyDescent="0.25">
      <c r="A1952" s="36">
        <v>41429</v>
      </c>
      <c r="B1952" s="121">
        <v>0.7924768518518519</v>
      </c>
      <c r="C1952" s="26" t="s">
        <v>1267</v>
      </c>
    </row>
    <row r="1953" spans="1:3" x14ac:dyDescent="0.25">
      <c r="A1953" s="36">
        <v>41429</v>
      </c>
      <c r="B1953" s="121">
        <v>0.7924768518518519</v>
      </c>
      <c r="C1953" s="26" t="s">
        <v>1324</v>
      </c>
    </row>
    <row r="1954" spans="1:3" x14ac:dyDescent="0.25">
      <c r="A1954" s="36">
        <v>41429</v>
      </c>
      <c r="B1954" s="121">
        <v>0.7924768518518519</v>
      </c>
      <c r="C1954" s="26" t="s">
        <v>1325</v>
      </c>
    </row>
    <row r="1955" spans="1:3" x14ac:dyDescent="0.25">
      <c r="A1955" s="36">
        <v>41429</v>
      </c>
      <c r="B1955" s="121">
        <v>0.7924768518518519</v>
      </c>
      <c r="C1955" s="26" t="s">
        <v>1326</v>
      </c>
    </row>
    <row r="1956" spans="1:3" x14ac:dyDescent="0.25">
      <c r="A1956" s="36">
        <v>41429</v>
      </c>
      <c r="B1956" s="121">
        <v>0.7924768518518519</v>
      </c>
      <c r="C1956" s="26" t="s">
        <v>1327</v>
      </c>
    </row>
    <row r="1957" spans="1:3" x14ac:dyDescent="0.25">
      <c r="A1957" s="36">
        <v>41429</v>
      </c>
      <c r="B1957" s="121">
        <v>0.7924768518518519</v>
      </c>
      <c r="C1957" s="26" t="s">
        <v>1328</v>
      </c>
    </row>
    <row r="1958" spans="1:3" x14ac:dyDescent="0.25">
      <c r="A1958" s="36">
        <v>41429</v>
      </c>
      <c r="B1958" s="121">
        <v>0.7924768518518519</v>
      </c>
      <c r="C1958" s="26" t="s">
        <v>1329</v>
      </c>
    </row>
    <row r="1959" spans="1:3" x14ac:dyDescent="0.25">
      <c r="A1959" s="36">
        <v>41429</v>
      </c>
      <c r="B1959" s="121">
        <v>0.7924768518518519</v>
      </c>
      <c r="C1959" s="26" t="s">
        <v>1329</v>
      </c>
    </row>
    <row r="1960" spans="1:3" x14ac:dyDescent="0.25">
      <c r="A1960" s="36">
        <v>41429</v>
      </c>
      <c r="B1960" s="121">
        <v>0.7924768518518519</v>
      </c>
      <c r="C1960" s="26" t="s">
        <v>1330</v>
      </c>
    </row>
    <row r="1961" spans="1:3" x14ac:dyDescent="0.25">
      <c r="A1961" s="36">
        <v>41429</v>
      </c>
      <c r="B1961" s="121">
        <v>0.7924768518518519</v>
      </c>
      <c r="C1961" s="26" t="s">
        <v>1262</v>
      </c>
    </row>
    <row r="1962" spans="1:3" x14ac:dyDescent="0.25">
      <c r="A1962" s="36">
        <v>41429</v>
      </c>
      <c r="B1962" s="121">
        <v>0.7924768518518519</v>
      </c>
      <c r="C1962" s="26" t="s">
        <v>1331</v>
      </c>
    </row>
    <row r="1963" spans="1:3" x14ac:dyDescent="0.25">
      <c r="A1963" s="36">
        <v>41429</v>
      </c>
      <c r="B1963" s="121">
        <v>0.7924768518518519</v>
      </c>
      <c r="C1963" s="26" t="s">
        <v>1332</v>
      </c>
    </row>
    <row r="1964" spans="1:3" x14ac:dyDescent="0.25">
      <c r="A1964" s="36">
        <v>41429</v>
      </c>
      <c r="B1964" s="121">
        <v>0.7924768518518519</v>
      </c>
      <c r="C1964" s="26" t="s">
        <v>1332</v>
      </c>
    </row>
    <row r="1965" spans="1:3" x14ac:dyDescent="0.25">
      <c r="A1965" s="36">
        <v>41429</v>
      </c>
      <c r="B1965" s="121">
        <v>0.7924768518518519</v>
      </c>
      <c r="C1965" s="26" t="s">
        <v>1333</v>
      </c>
    </row>
    <row r="1966" spans="1:3" x14ac:dyDescent="0.25">
      <c r="A1966" s="36">
        <v>41429</v>
      </c>
      <c r="B1966" s="121">
        <v>0.7924768518518519</v>
      </c>
      <c r="C1966" s="26" t="s">
        <v>1334</v>
      </c>
    </row>
    <row r="1967" spans="1:3" x14ac:dyDescent="0.25">
      <c r="A1967" s="36">
        <v>41429</v>
      </c>
      <c r="B1967" s="121">
        <v>0.7924768518518519</v>
      </c>
      <c r="C1967" s="26" t="s">
        <v>1336</v>
      </c>
    </row>
    <row r="1968" spans="1:3" x14ac:dyDescent="0.25">
      <c r="A1968" s="36">
        <v>41429</v>
      </c>
      <c r="B1968" s="121">
        <v>0.7924768518518519</v>
      </c>
      <c r="C1968" s="26" t="s">
        <v>1338</v>
      </c>
    </row>
    <row r="1969" spans="1:3" x14ac:dyDescent="0.25">
      <c r="A1969" s="36">
        <v>41429</v>
      </c>
      <c r="B1969" s="121">
        <v>0.7924768518518519</v>
      </c>
      <c r="C1969" s="26" t="s">
        <v>1339</v>
      </c>
    </row>
    <row r="1970" spans="1:3" x14ac:dyDescent="0.25">
      <c r="A1970" s="36">
        <v>41429</v>
      </c>
      <c r="B1970" s="121">
        <v>0.7924768518518519</v>
      </c>
      <c r="C1970" s="26" t="s">
        <v>1340</v>
      </c>
    </row>
    <row r="1971" spans="1:3" x14ac:dyDescent="0.25">
      <c r="A1971" s="36">
        <v>41429</v>
      </c>
      <c r="B1971" s="121">
        <v>0.7924768518518519</v>
      </c>
      <c r="C1971" s="26" t="s">
        <v>1340</v>
      </c>
    </row>
    <row r="1972" spans="1:3" x14ac:dyDescent="0.25">
      <c r="A1972" s="36">
        <v>41429</v>
      </c>
      <c r="B1972" s="121">
        <v>0.7924768518518519</v>
      </c>
      <c r="C1972" s="26" t="s">
        <v>1265</v>
      </c>
    </row>
    <row r="1973" spans="1:3" x14ac:dyDescent="0.25">
      <c r="A1973" s="36">
        <v>41429</v>
      </c>
      <c r="B1973" s="121">
        <v>0.7924768518518519</v>
      </c>
      <c r="C1973" s="26" t="s">
        <v>1338</v>
      </c>
    </row>
    <row r="1974" spans="1:3" x14ac:dyDescent="0.25">
      <c r="A1974" s="36">
        <v>41429</v>
      </c>
      <c r="B1974" s="121">
        <v>0.7924768518518519</v>
      </c>
      <c r="C1974" s="26" t="s">
        <v>1252</v>
      </c>
    </row>
    <row r="1975" spans="1:3" x14ac:dyDescent="0.25">
      <c r="A1975" s="36">
        <v>41429</v>
      </c>
      <c r="B1975" s="121">
        <v>0.7924768518518519</v>
      </c>
      <c r="C1975" s="26" t="s">
        <v>1341</v>
      </c>
    </row>
    <row r="1976" spans="1:3" x14ac:dyDescent="0.25">
      <c r="A1976" s="36">
        <v>41429</v>
      </c>
      <c r="B1976" s="121">
        <v>0.7924768518518519</v>
      </c>
      <c r="C1976" s="26" t="s">
        <v>1342</v>
      </c>
    </row>
    <row r="1977" spans="1:3" x14ac:dyDescent="0.25">
      <c r="A1977" s="36">
        <v>41429</v>
      </c>
      <c r="B1977" s="121">
        <v>0.7924768518518519</v>
      </c>
      <c r="C1977" s="26" t="s">
        <v>1343</v>
      </c>
    </row>
    <row r="1978" spans="1:3" x14ac:dyDescent="0.25">
      <c r="A1978" s="36">
        <v>41429</v>
      </c>
      <c r="B1978" s="121">
        <v>0.7924768518518519</v>
      </c>
      <c r="C1978" s="26" t="s">
        <v>1344</v>
      </c>
    </row>
    <row r="1979" spans="1:3" x14ac:dyDescent="0.25">
      <c r="A1979" s="36">
        <v>41429</v>
      </c>
      <c r="B1979" s="121">
        <v>0.7924768518518519</v>
      </c>
      <c r="C1979" s="26" t="s">
        <v>1345</v>
      </c>
    </row>
    <row r="1980" spans="1:3" x14ac:dyDescent="0.25">
      <c r="A1980" s="36">
        <v>41429</v>
      </c>
      <c r="B1980" s="121">
        <v>0.7924768518518519</v>
      </c>
      <c r="C1980" s="26" t="s">
        <v>1332</v>
      </c>
    </row>
    <row r="1981" spans="1:3" x14ac:dyDescent="0.25">
      <c r="A1981" s="36">
        <v>41429</v>
      </c>
      <c r="B1981" s="121">
        <v>0.7924768518518519</v>
      </c>
      <c r="C1981" s="26" t="s">
        <v>1346</v>
      </c>
    </row>
    <row r="1982" spans="1:3" x14ac:dyDescent="0.25">
      <c r="A1982" s="36">
        <v>41429</v>
      </c>
      <c r="B1982" s="121">
        <v>0.7924768518518519</v>
      </c>
      <c r="C1982" s="26" t="s">
        <v>1315</v>
      </c>
    </row>
    <row r="1983" spans="1:3" x14ac:dyDescent="0.25">
      <c r="A1983" s="36">
        <v>41429</v>
      </c>
      <c r="B1983" s="121">
        <v>0.7924768518518519</v>
      </c>
      <c r="C1983" s="26" t="s">
        <v>1348</v>
      </c>
    </row>
    <row r="1984" spans="1:3" x14ac:dyDescent="0.25">
      <c r="A1984" s="36">
        <v>41429</v>
      </c>
      <c r="B1984" s="121">
        <v>0.7924768518518519</v>
      </c>
      <c r="C1984" s="26" t="s">
        <v>1314</v>
      </c>
    </row>
    <row r="1985" spans="1:3" x14ac:dyDescent="0.25">
      <c r="A1985" s="36">
        <v>41429</v>
      </c>
      <c r="B1985" s="121">
        <v>0.7924768518518519</v>
      </c>
      <c r="C1985" s="26" t="s">
        <v>1349</v>
      </c>
    </row>
    <row r="1986" spans="1:3" x14ac:dyDescent="0.25">
      <c r="A1986" s="36">
        <v>41429</v>
      </c>
      <c r="B1986" s="121">
        <v>0.7924768518518519</v>
      </c>
      <c r="C1986" s="26" t="s">
        <v>1351</v>
      </c>
    </row>
    <row r="1987" spans="1:3" x14ac:dyDescent="0.25">
      <c r="A1987" s="36">
        <v>41429</v>
      </c>
      <c r="B1987" s="121">
        <v>0.7924768518518519</v>
      </c>
      <c r="C1987" s="26" t="s">
        <v>1352</v>
      </c>
    </row>
    <row r="1988" spans="1:3" x14ac:dyDescent="0.25">
      <c r="A1988" s="36">
        <v>41429</v>
      </c>
      <c r="B1988" s="121">
        <v>0.7924768518518519</v>
      </c>
      <c r="C1988" s="26" t="s">
        <v>1354</v>
      </c>
    </row>
    <row r="1989" spans="1:3" x14ac:dyDescent="0.25">
      <c r="A1989" s="36">
        <v>41429</v>
      </c>
      <c r="B1989" s="121">
        <v>0.7924768518518519</v>
      </c>
      <c r="C1989" s="26" t="s">
        <v>1341</v>
      </c>
    </row>
    <row r="1990" spans="1:3" x14ac:dyDescent="0.25">
      <c r="A1990" s="36">
        <v>41429</v>
      </c>
      <c r="B1990" s="121">
        <v>0.7924768518518519</v>
      </c>
      <c r="C1990" s="26" t="s">
        <v>1486</v>
      </c>
    </row>
    <row r="1991" spans="1:3" x14ac:dyDescent="0.25">
      <c r="A1991" s="36">
        <v>41429</v>
      </c>
      <c r="B1991" s="121">
        <v>0.7924768518518519</v>
      </c>
      <c r="C1991" s="26" t="s">
        <v>1487</v>
      </c>
    </row>
    <row r="1992" spans="1:3" x14ac:dyDescent="0.25">
      <c r="A1992" s="36">
        <v>41429</v>
      </c>
      <c r="B1992" s="121">
        <v>0.7924768518518519</v>
      </c>
      <c r="C1992" s="26" t="s">
        <v>1259</v>
      </c>
    </row>
    <row r="1993" spans="1:3" x14ac:dyDescent="0.25">
      <c r="A1993" s="36">
        <v>41429</v>
      </c>
      <c r="B1993" s="121">
        <v>0.7924768518518519</v>
      </c>
      <c r="C1993" s="26" t="s">
        <v>1488</v>
      </c>
    </row>
    <row r="1994" spans="1:3" x14ac:dyDescent="0.25">
      <c r="A1994" s="36">
        <v>41429</v>
      </c>
      <c r="B1994" s="121">
        <v>0.7924768518518519</v>
      </c>
      <c r="C1994" s="26" t="s">
        <v>1557</v>
      </c>
    </row>
    <row r="1995" spans="1:3" x14ac:dyDescent="0.25">
      <c r="A1995" s="36">
        <v>41429</v>
      </c>
      <c r="B1995" s="121">
        <v>0.7924768518518519</v>
      </c>
      <c r="C1995" s="26" t="s">
        <v>1558</v>
      </c>
    </row>
    <row r="1996" spans="1:3" x14ac:dyDescent="0.25">
      <c r="A1996" s="36">
        <v>41429</v>
      </c>
      <c r="B1996" s="121">
        <v>0.7924768518518519</v>
      </c>
      <c r="C1996" s="26" t="s">
        <v>1559</v>
      </c>
    </row>
    <row r="1997" spans="1:3" x14ac:dyDescent="0.25">
      <c r="A1997" s="36">
        <v>41429</v>
      </c>
      <c r="B1997" s="121">
        <v>0.7924768518518519</v>
      </c>
      <c r="C1997" s="26" t="s">
        <v>1560</v>
      </c>
    </row>
    <row r="1998" spans="1:3" x14ac:dyDescent="0.25">
      <c r="A1998" s="36">
        <v>41429</v>
      </c>
      <c r="B1998" s="121">
        <v>0.7924768518518519</v>
      </c>
      <c r="C1998" s="26" t="s">
        <v>1561</v>
      </c>
    </row>
    <row r="1999" spans="1:3" x14ac:dyDescent="0.25">
      <c r="A1999" s="36">
        <v>41429</v>
      </c>
      <c r="B1999" s="121">
        <v>0.7924768518518519</v>
      </c>
      <c r="C1999" s="26" t="s">
        <v>1342</v>
      </c>
    </row>
    <row r="2000" spans="1:3" x14ac:dyDescent="0.25">
      <c r="A2000" s="36">
        <v>41429</v>
      </c>
      <c r="B2000" s="121">
        <v>0.7924768518518519</v>
      </c>
      <c r="C2000" s="26" t="s">
        <v>1562</v>
      </c>
    </row>
    <row r="2001" spans="1:3" x14ac:dyDescent="0.25">
      <c r="A2001" s="36">
        <v>41429</v>
      </c>
      <c r="B2001" s="121">
        <v>0.7924768518518519</v>
      </c>
      <c r="C2001" s="26" t="s">
        <v>1563</v>
      </c>
    </row>
    <row r="2002" spans="1:3" x14ac:dyDescent="0.25">
      <c r="A2002" s="36">
        <v>41429</v>
      </c>
      <c r="B2002" s="121">
        <v>0.7924768518518519</v>
      </c>
      <c r="C2002" s="26" t="s">
        <v>1586</v>
      </c>
    </row>
    <row r="2003" spans="1:3" x14ac:dyDescent="0.25">
      <c r="A2003" s="36">
        <v>41429</v>
      </c>
      <c r="B2003" s="121">
        <v>0.7924768518518519</v>
      </c>
      <c r="C2003" s="26" t="s">
        <v>1587</v>
      </c>
    </row>
    <row r="2004" spans="1:3" x14ac:dyDescent="0.25">
      <c r="A2004" s="36">
        <v>41429</v>
      </c>
      <c r="B2004" s="121">
        <v>0.79248842592592583</v>
      </c>
      <c r="C2004" s="26" t="s">
        <v>1598</v>
      </c>
    </row>
    <row r="2005" spans="1:3" x14ac:dyDescent="0.25">
      <c r="A2005" s="36">
        <v>41429</v>
      </c>
      <c r="B2005" s="121">
        <v>0.81370370370370371</v>
      </c>
      <c r="C2005" s="26" t="s">
        <v>1594</v>
      </c>
    </row>
    <row r="2006" spans="1:3" ht="45" x14ac:dyDescent="0.25">
      <c r="A2006" s="36">
        <v>41429</v>
      </c>
      <c r="B2006" s="121">
        <v>0.81513888888888886</v>
      </c>
      <c r="C2006" s="831" t="s">
        <v>1599</v>
      </c>
    </row>
    <row r="2007" spans="1:3" ht="45" x14ac:dyDescent="0.25">
      <c r="A2007" s="36">
        <v>41429</v>
      </c>
      <c r="B2007" s="121">
        <v>0.81539351851851849</v>
      </c>
      <c r="C2007" s="831" t="s">
        <v>1600</v>
      </c>
    </row>
    <row r="2008" spans="1:3" ht="30" x14ac:dyDescent="0.25">
      <c r="A2008" s="36">
        <v>41429</v>
      </c>
      <c r="B2008" s="121">
        <v>0.81546296296296295</v>
      </c>
      <c r="C2008" s="831" t="s">
        <v>1601</v>
      </c>
    </row>
    <row r="2009" spans="1:3" x14ac:dyDescent="0.25">
      <c r="A2009" s="36">
        <v>41429</v>
      </c>
      <c r="B2009" s="121">
        <v>0.81648148148148147</v>
      </c>
      <c r="C2009" s="26" t="s">
        <v>1602</v>
      </c>
    </row>
    <row r="2010" spans="1:3" ht="45" x14ac:dyDescent="0.25">
      <c r="A2010" s="36">
        <v>41429</v>
      </c>
      <c r="B2010" s="121">
        <v>0.81796296296296289</v>
      </c>
      <c r="C2010" s="831" t="s">
        <v>1603</v>
      </c>
    </row>
    <row r="2011" spans="1:3" ht="45" x14ac:dyDescent="0.25">
      <c r="A2011" s="36">
        <v>41429</v>
      </c>
      <c r="B2011" s="121">
        <v>0.81821759259259252</v>
      </c>
      <c r="C2011" s="831" t="s">
        <v>1604</v>
      </c>
    </row>
    <row r="2012" spans="1:3" ht="30" x14ac:dyDescent="0.25">
      <c r="A2012" s="36">
        <v>41429</v>
      </c>
      <c r="B2012" s="121">
        <v>0.81828703703703709</v>
      </c>
      <c r="C2012" s="831" t="s">
        <v>1605</v>
      </c>
    </row>
    <row r="2013" spans="1:3" x14ac:dyDescent="0.25">
      <c r="A2013" s="36">
        <v>41429</v>
      </c>
      <c r="B2013" s="121">
        <v>0.82042824074074072</v>
      </c>
      <c r="C2013" s="26" t="s">
        <v>1606</v>
      </c>
    </row>
    <row r="2014" spans="1:3" ht="30" x14ac:dyDescent="0.25">
      <c r="A2014" s="36">
        <v>41429</v>
      </c>
      <c r="B2014" s="121">
        <v>0.8208333333333333</v>
      </c>
      <c r="C2014" s="831" t="s">
        <v>1607</v>
      </c>
    </row>
    <row r="2015" spans="1:3" ht="45" x14ac:dyDescent="0.25">
      <c r="A2015" s="36">
        <v>41429</v>
      </c>
      <c r="B2015" s="121">
        <v>0.82236111111111121</v>
      </c>
      <c r="C2015" s="831" t="s">
        <v>1608</v>
      </c>
    </row>
    <row r="2016" spans="1:3" x14ac:dyDescent="0.25">
      <c r="A2016" s="36">
        <v>41429</v>
      </c>
      <c r="B2016" s="121">
        <v>0.82550925925925922</v>
      </c>
      <c r="C2016" s="26" t="s">
        <v>1400</v>
      </c>
    </row>
    <row r="2017" spans="1:3" x14ac:dyDescent="0.25">
      <c r="A2017" s="36">
        <v>41429</v>
      </c>
      <c r="B2017" s="121">
        <v>0.82550925925925922</v>
      </c>
      <c r="C2017" s="26" t="s">
        <v>1400</v>
      </c>
    </row>
    <row r="2018" spans="1:3" x14ac:dyDescent="0.25">
      <c r="A2018" s="36">
        <v>41429</v>
      </c>
      <c r="B2018" s="121">
        <v>0.82550925925925922</v>
      </c>
      <c r="C2018" s="26" t="s">
        <v>1401</v>
      </c>
    </row>
    <row r="2019" spans="1:3" x14ac:dyDescent="0.25">
      <c r="A2019" s="36">
        <v>41429</v>
      </c>
      <c r="B2019" s="121">
        <v>0.82550925925925922</v>
      </c>
      <c r="C2019" s="26" t="s">
        <v>1402</v>
      </c>
    </row>
    <row r="2020" spans="1:3" x14ac:dyDescent="0.25">
      <c r="A2020" s="36">
        <v>41429</v>
      </c>
      <c r="B2020" s="121">
        <v>0.82552083333333337</v>
      </c>
      <c r="C2020" s="26" t="s">
        <v>1403</v>
      </c>
    </row>
    <row r="2021" spans="1:3" x14ac:dyDescent="0.25">
      <c r="A2021" s="36">
        <v>41429</v>
      </c>
      <c r="B2021" s="121">
        <v>0.82552083333333337</v>
      </c>
      <c r="C2021" s="26" t="s">
        <v>1401</v>
      </c>
    </row>
    <row r="2022" spans="1:3" x14ac:dyDescent="0.25">
      <c r="A2022" s="36">
        <v>41429</v>
      </c>
      <c r="B2022" s="121">
        <v>0.82552083333333337</v>
      </c>
      <c r="C2022" s="26" t="s">
        <v>1401</v>
      </c>
    </row>
    <row r="2023" spans="1:3" x14ac:dyDescent="0.25">
      <c r="A2023" s="36">
        <v>41429</v>
      </c>
      <c r="B2023" s="121">
        <v>0.82553240740740741</v>
      </c>
      <c r="C2023" s="26" t="s">
        <v>1403</v>
      </c>
    </row>
    <row r="2024" spans="1:3" x14ac:dyDescent="0.25">
      <c r="A2024" s="36">
        <v>41429</v>
      </c>
      <c r="B2024" s="121">
        <v>0.82554398148148145</v>
      </c>
      <c r="C2024" s="26" t="s">
        <v>1404</v>
      </c>
    </row>
    <row r="2025" spans="1:3" x14ac:dyDescent="0.25">
      <c r="A2025" s="36">
        <v>41429</v>
      </c>
      <c r="B2025" s="121">
        <v>0.82554398148148145</v>
      </c>
      <c r="C2025" s="26" t="s">
        <v>1405</v>
      </c>
    </row>
    <row r="2026" spans="1:3" x14ac:dyDescent="0.25">
      <c r="A2026" s="36">
        <v>41429</v>
      </c>
      <c r="B2026" s="121">
        <v>0.82554398148148145</v>
      </c>
      <c r="C2026" s="26" t="s">
        <v>1406</v>
      </c>
    </row>
    <row r="2027" spans="1:3" x14ac:dyDescent="0.25">
      <c r="A2027" s="36">
        <v>41429</v>
      </c>
      <c r="B2027" s="121">
        <v>0.82554398148148145</v>
      </c>
      <c r="C2027" s="26" t="s">
        <v>1405</v>
      </c>
    </row>
    <row r="2028" spans="1:3" x14ac:dyDescent="0.25">
      <c r="A2028" s="36">
        <v>41429</v>
      </c>
      <c r="B2028" s="121">
        <v>0.82555555555555549</v>
      </c>
      <c r="C2028" s="26" t="s">
        <v>1405</v>
      </c>
    </row>
    <row r="2029" spans="1:3" x14ac:dyDescent="0.25">
      <c r="A2029" s="36">
        <v>41429</v>
      </c>
      <c r="B2029" s="121">
        <v>0.82555555555555549</v>
      </c>
      <c r="C2029" s="26" t="s">
        <v>1407</v>
      </c>
    </row>
    <row r="2030" spans="1:3" x14ac:dyDescent="0.25">
      <c r="A2030" s="36">
        <v>41429</v>
      </c>
      <c r="B2030" s="121">
        <v>0.82555555555555549</v>
      </c>
      <c r="C2030" s="26" t="s">
        <v>1408</v>
      </c>
    </row>
    <row r="2031" spans="1:3" x14ac:dyDescent="0.25">
      <c r="A2031" s="36">
        <v>41429</v>
      </c>
      <c r="B2031" s="121">
        <v>0.82556712962962964</v>
      </c>
      <c r="C2031" s="26" t="s">
        <v>1408</v>
      </c>
    </row>
    <row r="2032" spans="1:3" x14ac:dyDescent="0.25">
      <c r="A2032" s="36">
        <v>41429</v>
      </c>
      <c r="B2032" s="121">
        <v>0.82556712962962964</v>
      </c>
      <c r="C2032" s="26" t="s">
        <v>1409</v>
      </c>
    </row>
    <row r="2033" spans="1:3" x14ac:dyDescent="0.25">
      <c r="A2033" s="36">
        <v>41429</v>
      </c>
      <c r="B2033" s="121">
        <v>0.82556712962962964</v>
      </c>
      <c r="C2033" s="26" t="s">
        <v>1410</v>
      </c>
    </row>
    <row r="2034" spans="1:3" x14ac:dyDescent="0.25">
      <c r="A2034" s="36">
        <v>41429</v>
      </c>
      <c r="B2034" s="121">
        <v>0.82556712962962964</v>
      </c>
      <c r="C2034" s="26" t="s">
        <v>1411</v>
      </c>
    </row>
    <row r="2035" spans="1:3" x14ac:dyDescent="0.25">
      <c r="A2035" s="36">
        <v>41429</v>
      </c>
      <c r="B2035" s="121">
        <v>0.82556712962962964</v>
      </c>
      <c r="C2035" s="26" t="s">
        <v>1412</v>
      </c>
    </row>
    <row r="2036" spans="1:3" x14ac:dyDescent="0.25">
      <c r="A2036" s="36">
        <v>41429</v>
      </c>
      <c r="B2036" s="121">
        <v>0.82556712962962964</v>
      </c>
      <c r="C2036" s="26" t="s">
        <v>1405</v>
      </c>
    </row>
    <row r="2037" spans="1:3" x14ac:dyDescent="0.25">
      <c r="A2037" s="36">
        <v>41429</v>
      </c>
      <c r="B2037" s="121">
        <v>0.82556712962962964</v>
      </c>
      <c r="C2037" s="26" t="s">
        <v>1408</v>
      </c>
    </row>
    <row r="2038" spans="1:3" x14ac:dyDescent="0.25">
      <c r="A2038" s="36">
        <v>41429</v>
      </c>
      <c r="B2038" s="121">
        <v>0.82556712962962964</v>
      </c>
      <c r="C2038" s="26" t="s">
        <v>1411</v>
      </c>
    </row>
    <row r="2039" spans="1:3" x14ac:dyDescent="0.25">
      <c r="A2039" s="36">
        <v>41429</v>
      </c>
      <c r="B2039" s="121">
        <v>0.82556712962962964</v>
      </c>
      <c r="C2039" s="26" t="s">
        <v>1408</v>
      </c>
    </row>
    <row r="2040" spans="1:3" x14ac:dyDescent="0.25">
      <c r="A2040" s="36">
        <v>41429</v>
      </c>
      <c r="B2040" s="121">
        <v>0.82556712962962964</v>
      </c>
      <c r="C2040" s="26" t="s">
        <v>1411</v>
      </c>
    </row>
    <row r="2041" spans="1:3" x14ac:dyDescent="0.25">
      <c r="A2041" s="36">
        <v>41429</v>
      </c>
      <c r="B2041" s="121">
        <v>0.82556712962962964</v>
      </c>
      <c r="C2041" s="26" t="s">
        <v>1411</v>
      </c>
    </row>
    <row r="2042" spans="1:3" x14ac:dyDescent="0.25">
      <c r="A2042" s="36">
        <v>41429</v>
      </c>
      <c r="B2042" s="121">
        <v>0.82556712962962964</v>
      </c>
      <c r="C2042" s="26" t="s">
        <v>1410</v>
      </c>
    </row>
    <row r="2043" spans="1:3" x14ac:dyDescent="0.25">
      <c r="A2043" s="36">
        <v>41429</v>
      </c>
      <c r="B2043" s="121">
        <v>0.82556712962962964</v>
      </c>
      <c r="C2043" s="26" t="s">
        <v>1401</v>
      </c>
    </row>
    <row r="2044" spans="1:3" x14ac:dyDescent="0.25">
      <c r="A2044" s="36">
        <v>41429</v>
      </c>
      <c r="B2044" s="121">
        <v>0.82556712962962964</v>
      </c>
      <c r="C2044" s="26" t="s">
        <v>1408</v>
      </c>
    </row>
    <row r="2045" spans="1:3" x14ac:dyDescent="0.25">
      <c r="A2045" s="36">
        <v>41429</v>
      </c>
      <c r="B2045" s="121">
        <v>0.82556712962962964</v>
      </c>
      <c r="C2045" s="26" t="s">
        <v>1412</v>
      </c>
    </row>
    <row r="2046" spans="1:3" x14ac:dyDescent="0.25">
      <c r="A2046" s="36">
        <v>41429</v>
      </c>
      <c r="B2046" s="121">
        <v>0.82556712962962964</v>
      </c>
      <c r="C2046" s="26" t="s">
        <v>1412</v>
      </c>
    </row>
    <row r="2047" spans="1:3" x14ac:dyDescent="0.25">
      <c r="A2047" s="36">
        <v>41429</v>
      </c>
      <c r="B2047" s="121">
        <v>0.82556712962962964</v>
      </c>
      <c r="C2047" s="26" t="s">
        <v>1408</v>
      </c>
    </row>
    <row r="2048" spans="1:3" x14ac:dyDescent="0.25">
      <c r="A2048" s="36">
        <v>41429</v>
      </c>
      <c r="B2048" s="121">
        <v>0.82557870370370379</v>
      </c>
      <c r="C2048" s="26" t="s">
        <v>1414</v>
      </c>
    </row>
    <row r="2049" spans="1:3" x14ac:dyDescent="0.25">
      <c r="A2049" s="36">
        <v>41429</v>
      </c>
      <c r="B2049" s="121">
        <v>0.82557870370370379</v>
      </c>
      <c r="C2049" s="26" t="s">
        <v>1415</v>
      </c>
    </row>
    <row r="2050" spans="1:3" x14ac:dyDescent="0.25">
      <c r="A2050" s="36">
        <v>41429</v>
      </c>
      <c r="B2050" s="121">
        <v>0.82557870370370379</v>
      </c>
      <c r="C2050" s="26" t="s">
        <v>1411</v>
      </c>
    </row>
    <row r="2051" spans="1:3" x14ac:dyDescent="0.25">
      <c r="A2051" s="36">
        <v>41429</v>
      </c>
      <c r="B2051" s="121">
        <v>0.82557870370370379</v>
      </c>
      <c r="C2051" s="26" t="s">
        <v>1416</v>
      </c>
    </row>
    <row r="2052" spans="1:3" x14ac:dyDescent="0.25">
      <c r="A2052" s="36">
        <v>41429</v>
      </c>
      <c r="B2052" s="121">
        <v>0.82557870370370379</v>
      </c>
      <c r="C2052" s="26" t="s">
        <v>1416</v>
      </c>
    </row>
    <row r="2053" spans="1:3" x14ac:dyDescent="0.25">
      <c r="A2053" s="36">
        <v>41429</v>
      </c>
      <c r="B2053" s="121">
        <v>0.82557870370370379</v>
      </c>
      <c r="C2053" s="26" t="s">
        <v>1417</v>
      </c>
    </row>
    <row r="2054" spans="1:3" x14ac:dyDescent="0.25">
      <c r="A2054" s="36">
        <v>41429</v>
      </c>
      <c r="B2054" s="121">
        <v>0.82557870370370379</v>
      </c>
      <c r="C2054" s="26" t="s">
        <v>1403</v>
      </c>
    </row>
    <row r="2055" spans="1:3" x14ac:dyDescent="0.25">
      <c r="A2055" s="36">
        <v>41429</v>
      </c>
      <c r="B2055" s="121">
        <v>0.82557870370370379</v>
      </c>
      <c r="C2055" s="26" t="s">
        <v>1418</v>
      </c>
    </row>
    <row r="2056" spans="1:3" x14ac:dyDescent="0.25">
      <c r="A2056" s="36">
        <v>41429</v>
      </c>
      <c r="B2056" s="121">
        <v>0.82557870370370379</v>
      </c>
      <c r="C2056" s="26" t="s">
        <v>1411</v>
      </c>
    </row>
    <row r="2057" spans="1:3" ht="30" x14ac:dyDescent="0.25">
      <c r="A2057" s="36">
        <v>41429</v>
      </c>
      <c r="B2057" s="121">
        <v>0.82557870370370379</v>
      </c>
      <c r="C2057" s="831" t="s">
        <v>1609</v>
      </c>
    </row>
    <row r="2058" spans="1:3" x14ac:dyDescent="0.25">
      <c r="A2058" s="36">
        <v>41429</v>
      </c>
      <c r="B2058" s="121">
        <v>0.82557870370370379</v>
      </c>
      <c r="C2058" s="26" t="s">
        <v>1610</v>
      </c>
    </row>
    <row r="2059" spans="1:3" x14ac:dyDescent="0.25">
      <c r="A2059" s="36">
        <v>41429</v>
      </c>
      <c r="B2059" s="121">
        <v>0.82564814814814813</v>
      </c>
      <c r="C2059" s="26" t="s">
        <v>1400</v>
      </c>
    </row>
    <row r="2060" spans="1:3" x14ac:dyDescent="0.25">
      <c r="A2060" s="36">
        <v>41429</v>
      </c>
      <c r="B2060" s="121">
        <v>0.82564814814814813</v>
      </c>
      <c r="C2060" s="26" t="s">
        <v>1400</v>
      </c>
    </row>
    <row r="2061" spans="1:3" x14ac:dyDescent="0.25">
      <c r="A2061" s="36">
        <v>41429</v>
      </c>
      <c r="B2061" s="121">
        <v>0.82564814814814813</v>
      </c>
      <c r="C2061" s="26" t="s">
        <v>1401</v>
      </c>
    </row>
    <row r="2062" spans="1:3" x14ac:dyDescent="0.25">
      <c r="A2062" s="36">
        <v>41429</v>
      </c>
      <c r="B2062" s="121">
        <v>0.82564814814814813</v>
      </c>
      <c r="C2062" s="26" t="s">
        <v>1402</v>
      </c>
    </row>
    <row r="2063" spans="1:3" x14ac:dyDescent="0.25">
      <c r="A2063" s="36">
        <v>41429</v>
      </c>
      <c r="B2063" s="121">
        <v>0.82565972222222228</v>
      </c>
      <c r="C2063" s="26" t="s">
        <v>1403</v>
      </c>
    </row>
    <row r="2064" spans="1:3" x14ac:dyDescent="0.25">
      <c r="A2064" s="36">
        <v>41429</v>
      </c>
      <c r="B2064" s="121">
        <v>0.82565972222222228</v>
      </c>
      <c r="C2064" s="26" t="s">
        <v>1401</v>
      </c>
    </row>
    <row r="2065" spans="1:3" x14ac:dyDescent="0.25">
      <c r="A2065" s="36">
        <v>41429</v>
      </c>
      <c r="B2065" s="121">
        <v>0.82565972222222228</v>
      </c>
      <c r="C2065" s="26" t="s">
        <v>1401</v>
      </c>
    </row>
    <row r="2066" spans="1:3" x14ac:dyDescent="0.25">
      <c r="A2066" s="36">
        <v>41429</v>
      </c>
      <c r="B2066" s="121">
        <v>0.82567129629629632</v>
      </c>
      <c r="C2066" s="26" t="s">
        <v>1403</v>
      </c>
    </row>
    <row r="2067" spans="1:3" x14ac:dyDescent="0.25">
      <c r="A2067" s="36">
        <v>41429</v>
      </c>
      <c r="B2067" s="121">
        <v>0.82568287037037036</v>
      </c>
      <c r="C2067" s="26" t="s">
        <v>1404</v>
      </c>
    </row>
    <row r="2068" spans="1:3" x14ac:dyDescent="0.25">
      <c r="A2068" s="36">
        <v>41429</v>
      </c>
      <c r="B2068" s="121">
        <v>0.82568287037037036</v>
      </c>
      <c r="C2068" s="26" t="s">
        <v>1405</v>
      </c>
    </row>
    <row r="2069" spans="1:3" x14ac:dyDescent="0.25">
      <c r="A2069" s="36">
        <v>41429</v>
      </c>
      <c r="B2069" s="121">
        <v>0.82568287037037036</v>
      </c>
      <c r="C2069" s="26" t="s">
        <v>1406</v>
      </c>
    </row>
    <row r="2070" spans="1:3" x14ac:dyDescent="0.25">
      <c r="A2070" s="36">
        <v>41429</v>
      </c>
      <c r="B2070" s="121">
        <v>0.82568287037037036</v>
      </c>
      <c r="C2070" s="26" t="s">
        <v>1405</v>
      </c>
    </row>
    <row r="2071" spans="1:3" x14ac:dyDescent="0.25">
      <c r="A2071" s="36">
        <v>41429</v>
      </c>
      <c r="B2071" s="121">
        <v>0.8256944444444444</v>
      </c>
      <c r="C2071" s="26" t="s">
        <v>1405</v>
      </c>
    </row>
    <row r="2072" spans="1:3" x14ac:dyDescent="0.25">
      <c r="A2072" s="36">
        <v>41429</v>
      </c>
      <c r="B2072" s="121">
        <v>0.8256944444444444</v>
      </c>
      <c r="C2072" s="26" t="s">
        <v>1407</v>
      </c>
    </row>
    <row r="2073" spans="1:3" x14ac:dyDescent="0.25">
      <c r="A2073" s="36">
        <v>41429</v>
      </c>
      <c r="B2073" s="121">
        <v>0.8256944444444444</v>
      </c>
      <c r="C2073" s="26" t="s">
        <v>1408</v>
      </c>
    </row>
    <row r="2074" spans="1:3" x14ac:dyDescent="0.25">
      <c r="A2074" s="36">
        <v>41429</v>
      </c>
      <c r="B2074" s="121">
        <v>0.8256944444444444</v>
      </c>
      <c r="C2074" s="26" t="s">
        <v>1408</v>
      </c>
    </row>
    <row r="2075" spans="1:3" x14ac:dyDescent="0.25">
      <c r="A2075" s="36">
        <v>41429</v>
      </c>
      <c r="B2075" s="121">
        <v>0.8256944444444444</v>
      </c>
      <c r="C2075" s="26" t="s">
        <v>1409</v>
      </c>
    </row>
    <row r="2076" spans="1:3" x14ac:dyDescent="0.25">
      <c r="A2076" s="36">
        <v>41429</v>
      </c>
      <c r="B2076" s="121">
        <v>0.8256944444444444</v>
      </c>
      <c r="C2076" s="26" t="s">
        <v>1410</v>
      </c>
    </row>
    <row r="2077" spans="1:3" x14ac:dyDescent="0.25">
      <c r="A2077" s="36">
        <v>41429</v>
      </c>
      <c r="B2077" s="121">
        <v>0.8256944444444444</v>
      </c>
      <c r="C2077" s="26" t="s">
        <v>1411</v>
      </c>
    </row>
    <row r="2078" spans="1:3" x14ac:dyDescent="0.25">
      <c r="A2078" s="36">
        <v>41429</v>
      </c>
      <c r="B2078" s="121">
        <v>0.8256944444444444</v>
      </c>
      <c r="C2078" s="26" t="s">
        <v>1412</v>
      </c>
    </row>
    <row r="2079" spans="1:3" x14ac:dyDescent="0.25">
      <c r="A2079" s="36">
        <v>41429</v>
      </c>
      <c r="B2079" s="121">
        <v>0.82570601851851855</v>
      </c>
      <c r="C2079" s="26" t="s">
        <v>1405</v>
      </c>
    </row>
    <row r="2080" spans="1:3" x14ac:dyDescent="0.25">
      <c r="A2080" s="36">
        <v>41429</v>
      </c>
      <c r="B2080" s="121">
        <v>0.82570601851851855</v>
      </c>
      <c r="C2080" s="26" t="s">
        <v>1408</v>
      </c>
    </row>
    <row r="2081" spans="1:3" x14ac:dyDescent="0.25">
      <c r="A2081" s="36">
        <v>41429</v>
      </c>
      <c r="B2081" s="121">
        <v>0.82570601851851855</v>
      </c>
      <c r="C2081" s="26" t="s">
        <v>1411</v>
      </c>
    </row>
    <row r="2082" spans="1:3" x14ac:dyDescent="0.25">
      <c r="A2082" s="36">
        <v>41429</v>
      </c>
      <c r="B2082" s="121">
        <v>0.82570601851851855</v>
      </c>
      <c r="C2082" s="26" t="s">
        <v>1408</v>
      </c>
    </row>
    <row r="2083" spans="1:3" x14ac:dyDescent="0.25">
      <c r="A2083" s="36">
        <v>41429</v>
      </c>
      <c r="B2083" s="121">
        <v>0.82570601851851855</v>
      </c>
      <c r="C2083" s="26" t="s">
        <v>1411</v>
      </c>
    </row>
    <row r="2084" spans="1:3" x14ac:dyDescent="0.25">
      <c r="A2084" s="36">
        <v>41429</v>
      </c>
      <c r="B2084" s="121">
        <v>0.82570601851851855</v>
      </c>
      <c r="C2084" s="26" t="s">
        <v>1411</v>
      </c>
    </row>
    <row r="2085" spans="1:3" x14ac:dyDescent="0.25">
      <c r="A2085" s="36">
        <v>41429</v>
      </c>
      <c r="B2085" s="121">
        <v>0.82570601851851855</v>
      </c>
      <c r="C2085" s="26" t="s">
        <v>1410</v>
      </c>
    </row>
    <row r="2086" spans="1:3" x14ac:dyDescent="0.25">
      <c r="A2086" s="36">
        <v>41429</v>
      </c>
      <c r="B2086" s="121">
        <v>0.82570601851851855</v>
      </c>
      <c r="C2086" s="26" t="s">
        <v>1401</v>
      </c>
    </row>
    <row r="2087" spans="1:3" x14ac:dyDescent="0.25">
      <c r="A2087" s="36">
        <v>41429</v>
      </c>
      <c r="B2087" s="121">
        <v>0.82570601851851855</v>
      </c>
      <c r="C2087" s="26" t="s">
        <v>1408</v>
      </c>
    </row>
    <row r="2088" spans="1:3" x14ac:dyDescent="0.25">
      <c r="A2088" s="36">
        <v>41429</v>
      </c>
      <c r="B2088" s="121">
        <v>0.82570601851851855</v>
      </c>
      <c r="C2088" s="26" t="s">
        <v>1412</v>
      </c>
    </row>
    <row r="2089" spans="1:3" x14ac:dyDescent="0.25">
      <c r="A2089" s="36">
        <v>41429</v>
      </c>
      <c r="B2089" s="121">
        <v>0.82570601851851855</v>
      </c>
      <c r="C2089" s="26" t="s">
        <v>1412</v>
      </c>
    </row>
    <row r="2090" spans="1:3" x14ac:dyDescent="0.25">
      <c r="A2090" s="36">
        <v>41429</v>
      </c>
      <c r="B2090" s="121">
        <v>0.8257175925925927</v>
      </c>
      <c r="C2090" s="26" t="s">
        <v>1408</v>
      </c>
    </row>
    <row r="2091" spans="1:3" x14ac:dyDescent="0.25">
      <c r="A2091" s="36">
        <v>41429</v>
      </c>
      <c r="B2091" s="121">
        <v>0.8257175925925927</v>
      </c>
      <c r="C2091" s="26" t="s">
        <v>1414</v>
      </c>
    </row>
    <row r="2092" spans="1:3" x14ac:dyDescent="0.25">
      <c r="A2092" s="36">
        <v>41429</v>
      </c>
      <c r="B2092" s="121">
        <v>0.8257175925925927</v>
      </c>
      <c r="C2092" s="26" t="s">
        <v>1415</v>
      </c>
    </row>
    <row r="2093" spans="1:3" x14ac:dyDescent="0.25">
      <c r="A2093" s="36">
        <v>41429</v>
      </c>
      <c r="B2093" s="121">
        <v>0.8257175925925927</v>
      </c>
      <c r="C2093" s="26" t="s">
        <v>1411</v>
      </c>
    </row>
    <row r="2094" spans="1:3" x14ac:dyDescent="0.25">
      <c r="A2094" s="36">
        <v>41429</v>
      </c>
      <c r="B2094" s="121">
        <v>0.8257175925925927</v>
      </c>
      <c r="C2094" s="26" t="s">
        <v>1416</v>
      </c>
    </row>
    <row r="2095" spans="1:3" x14ac:dyDescent="0.25">
      <c r="A2095" s="36">
        <v>41429</v>
      </c>
      <c r="B2095" s="121">
        <v>0.8257175925925927</v>
      </c>
      <c r="C2095" s="26" t="s">
        <v>1416</v>
      </c>
    </row>
    <row r="2096" spans="1:3" x14ac:dyDescent="0.25">
      <c r="A2096" s="36">
        <v>41429</v>
      </c>
      <c r="B2096" s="121">
        <v>0.8257175925925927</v>
      </c>
      <c r="C2096" s="26" t="s">
        <v>1417</v>
      </c>
    </row>
    <row r="2097" spans="1:3" x14ac:dyDescent="0.25">
      <c r="A2097" s="36">
        <v>41429</v>
      </c>
      <c r="B2097" s="121">
        <v>0.8257175925925927</v>
      </c>
      <c r="C2097" s="26" t="s">
        <v>1403</v>
      </c>
    </row>
    <row r="2098" spans="1:3" x14ac:dyDescent="0.25">
      <c r="A2098" s="36">
        <v>41429</v>
      </c>
      <c r="B2098" s="121">
        <v>0.8257175925925927</v>
      </c>
      <c r="C2098" s="26" t="s">
        <v>1418</v>
      </c>
    </row>
    <row r="2099" spans="1:3" x14ac:dyDescent="0.25">
      <c r="A2099" s="36">
        <v>41429</v>
      </c>
      <c r="B2099" s="121">
        <v>0.8257175925925927</v>
      </c>
      <c r="C2099" s="26" t="s">
        <v>1411</v>
      </c>
    </row>
    <row r="2100" spans="1:3" ht="30" x14ac:dyDescent="0.25">
      <c r="A2100" s="36">
        <v>41429</v>
      </c>
      <c r="B2100" s="121">
        <v>0.82572916666666663</v>
      </c>
      <c r="C2100" s="831" t="s">
        <v>1611</v>
      </c>
    </row>
    <row r="2101" spans="1:3" x14ac:dyDescent="0.25">
      <c r="A2101" s="36">
        <v>41429</v>
      </c>
      <c r="B2101" s="121">
        <v>0.82572916666666663</v>
      </c>
      <c r="C2101" s="26" t="s">
        <v>1612</v>
      </c>
    </row>
    <row r="2102" spans="1:3" x14ac:dyDescent="0.25">
      <c r="A2102" s="36">
        <v>41430</v>
      </c>
      <c r="B2102" s="121">
        <v>0.64148148148148143</v>
      </c>
      <c r="C2102" s="26" t="s">
        <v>1613</v>
      </c>
    </row>
    <row r="2103" spans="1:3" ht="45" x14ac:dyDescent="0.25">
      <c r="A2103" s="36">
        <v>41430</v>
      </c>
      <c r="B2103" s="121">
        <v>0.64153935185185185</v>
      </c>
      <c r="C2103" s="831" t="s">
        <v>1614</v>
      </c>
    </row>
    <row r="2104" spans="1:3" x14ac:dyDescent="0.25">
      <c r="A2104" s="36">
        <v>41432</v>
      </c>
      <c r="B2104" s="121">
        <v>0.7290740740740741</v>
      </c>
      <c r="C2104" s="26" t="s">
        <v>1615</v>
      </c>
    </row>
    <row r="2105" spans="1:3" x14ac:dyDescent="0.25">
      <c r="A2105" s="36">
        <v>41432</v>
      </c>
      <c r="B2105" s="121">
        <v>0.75214120370370363</v>
      </c>
      <c r="C2105" s="26" t="s">
        <v>1616</v>
      </c>
    </row>
    <row r="2106" spans="1:3" x14ac:dyDescent="0.25">
      <c r="A2106" s="36">
        <v>41453</v>
      </c>
      <c r="B2106" s="121">
        <v>0.73715277777777777</v>
      </c>
      <c r="C2106" s="26" t="s">
        <v>1618</v>
      </c>
    </row>
    <row r="2107" spans="1:3" ht="60" x14ac:dyDescent="0.25">
      <c r="A2107" s="36">
        <v>41453</v>
      </c>
      <c r="B2107" s="121">
        <v>0.73732638888888891</v>
      </c>
      <c r="C2107" s="831" t="s">
        <v>1531</v>
      </c>
    </row>
    <row r="2108" spans="1:3" x14ac:dyDescent="0.25">
      <c r="A2108" s="36">
        <v>41453</v>
      </c>
      <c r="B2108" s="121">
        <v>0.73783564814814817</v>
      </c>
      <c r="C2108" s="26" t="s">
        <v>1619</v>
      </c>
    </row>
    <row r="2109" spans="1:3" ht="60" x14ac:dyDescent="0.25">
      <c r="A2109" s="36">
        <v>41453</v>
      </c>
      <c r="B2109" s="121">
        <v>0.73783564814814817</v>
      </c>
      <c r="C2109" s="831" t="s">
        <v>1522</v>
      </c>
    </row>
    <row r="2110" spans="1:3" x14ac:dyDescent="0.25">
      <c r="A2110" s="36">
        <v>41453</v>
      </c>
      <c r="B2110" s="121">
        <v>0.73819444444444438</v>
      </c>
      <c r="C2110" s="26" t="s">
        <v>1620</v>
      </c>
    </row>
    <row r="2111" spans="1:3" ht="60" x14ac:dyDescent="0.25">
      <c r="A2111" s="36">
        <v>41453</v>
      </c>
      <c r="B2111" s="121">
        <v>0.73819444444444438</v>
      </c>
      <c r="C2111" s="831" t="s">
        <v>1526</v>
      </c>
    </row>
    <row r="2112" spans="1:3" x14ac:dyDescent="0.25">
      <c r="A2112" s="36">
        <v>41453</v>
      </c>
      <c r="B2112" s="121">
        <v>0.73851851851851846</v>
      </c>
      <c r="C2112" s="26" t="s">
        <v>1523</v>
      </c>
    </row>
    <row r="2113" spans="1:3" x14ac:dyDescent="0.25">
      <c r="A2113" s="36">
        <v>41453</v>
      </c>
      <c r="B2113" s="121">
        <v>0.73891203703703701</v>
      </c>
      <c r="C2113" s="26" t="s">
        <v>1621</v>
      </c>
    </row>
    <row r="2114" spans="1:3" ht="30" x14ac:dyDescent="0.25">
      <c r="A2114" s="36">
        <v>41453</v>
      </c>
      <c r="B2114" s="121">
        <v>0.73928240740740747</v>
      </c>
      <c r="C2114" s="831" t="s">
        <v>1622</v>
      </c>
    </row>
    <row r="2115" spans="1:3" ht="60" x14ac:dyDescent="0.25">
      <c r="A2115" s="36">
        <v>41453</v>
      </c>
      <c r="B2115" s="121">
        <v>0.73929398148148151</v>
      </c>
      <c r="C2115" s="831" t="s">
        <v>1522</v>
      </c>
    </row>
    <row r="2116" spans="1:3" x14ac:dyDescent="0.25">
      <c r="A2116" s="36">
        <v>41453</v>
      </c>
      <c r="B2116" s="121">
        <v>0.73968750000000005</v>
      </c>
      <c r="C2116" s="26" t="s">
        <v>1623</v>
      </c>
    </row>
    <row r="2117" spans="1:3" ht="60" x14ac:dyDescent="0.25">
      <c r="A2117" s="36">
        <v>41453</v>
      </c>
      <c r="B2117" s="121">
        <v>0.74982638888888886</v>
      </c>
      <c r="C2117" s="831" t="s">
        <v>1624</v>
      </c>
    </row>
    <row r="2118" spans="1:3" ht="45" x14ac:dyDescent="0.25">
      <c r="A2118" s="36">
        <v>41453</v>
      </c>
      <c r="B2118" s="121">
        <v>0.74991898148148151</v>
      </c>
      <c r="C2118" s="831" t="s">
        <v>1625</v>
      </c>
    </row>
    <row r="2119" spans="1:3" ht="30" x14ac:dyDescent="0.25">
      <c r="A2119" s="36">
        <v>41453</v>
      </c>
      <c r="B2119" s="121">
        <v>0.75</v>
      </c>
      <c r="C2119" s="831" t="s">
        <v>1626</v>
      </c>
    </row>
    <row r="2120" spans="1:3" x14ac:dyDescent="0.25">
      <c r="A2120" s="36">
        <v>41453</v>
      </c>
      <c r="B2120" s="121">
        <v>0.96184027777777781</v>
      </c>
      <c r="C2120" s="26" t="s">
        <v>1627</v>
      </c>
    </row>
    <row r="2121" spans="1:3" x14ac:dyDescent="0.25">
      <c r="A2121" s="36">
        <v>41453</v>
      </c>
      <c r="B2121" s="121">
        <v>0.96277777777777773</v>
      </c>
      <c r="C2121" s="26" t="s">
        <v>1628</v>
      </c>
    </row>
    <row r="2122" spans="1:3" x14ac:dyDescent="0.25">
      <c r="A2122" s="36">
        <v>41453</v>
      </c>
      <c r="B2122" s="121">
        <v>0.96342592592592602</v>
      </c>
      <c r="C2122" s="26" t="s">
        <v>1629</v>
      </c>
    </row>
    <row r="2123" spans="1:3" ht="45" x14ac:dyDescent="0.25">
      <c r="A2123" s="36">
        <v>41453</v>
      </c>
      <c r="B2123" s="121">
        <v>0.96349537037037036</v>
      </c>
      <c r="C2123" s="831" t="s">
        <v>1630</v>
      </c>
    </row>
    <row r="2124" spans="1:3" x14ac:dyDescent="0.25">
      <c r="A2124" s="36">
        <v>41460</v>
      </c>
      <c r="B2124" s="121">
        <v>0.9132407407407408</v>
      </c>
      <c r="C2124" s="26" t="s">
        <v>1631</v>
      </c>
    </row>
    <row r="2125" spans="1:3" ht="60" x14ac:dyDescent="0.25">
      <c r="A2125" s="36">
        <v>41460</v>
      </c>
      <c r="B2125" s="121">
        <v>0.91343750000000001</v>
      </c>
      <c r="C2125" s="831" t="s">
        <v>1531</v>
      </c>
    </row>
    <row r="2126" spans="1:3" x14ac:dyDescent="0.25">
      <c r="A2126" s="36">
        <v>41460</v>
      </c>
      <c r="B2126" s="121">
        <v>0.91579861111111116</v>
      </c>
      <c r="C2126" s="26" t="s">
        <v>1632</v>
      </c>
    </row>
    <row r="2127" spans="1:3" ht="30" x14ac:dyDescent="0.25">
      <c r="A2127" s="36">
        <v>41460</v>
      </c>
      <c r="B2127" s="121">
        <v>0.91585648148148147</v>
      </c>
      <c r="C2127" s="831" t="s">
        <v>1633</v>
      </c>
    </row>
    <row r="2128" spans="1:3" ht="45" x14ac:dyDescent="0.25">
      <c r="A2128" s="36">
        <v>41460</v>
      </c>
      <c r="B2128" s="121">
        <v>0.91587962962962965</v>
      </c>
      <c r="C2128" s="831" t="s">
        <v>1634</v>
      </c>
    </row>
    <row r="2129" spans="1:3" x14ac:dyDescent="0.25">
      <c r="A2129" s="36">
        <v>41460</v>
      </c>
      <c r="B2129" s="121">
        <v>0.91752314814814817</v>
      </c>
      <c r="C2129" s="26" t="s">
        <v>1635</v>
      </c>
    </row>
    <row r="2130" spans="1:3" ht="30" x14ac:dyDescent="0.25">
      <c r="A2130" s="36">
        <v>41460</v>
      </c>
      <c r="B2130" s="121">
        <v>0.9177777777777778</v>
      </c>
      <c r="C2130" s="831" t="s">
        <v>1636</v>
      </c>
    </row>
    <row r="2131" spans="1:3" x14ac:dyDescent="0.25">
      <c r="A2131" s="36">
        <v>41460</v>
      </c>
      <c r="B2131" s="121">
        <v>0.91881944444444441</v>
      </c>
      <c r="C2131" s="26" t="s">
        <v>1628</v>
      </c>
    </row>
    <row r="2132" spans="1:3" x14ac:dyDescent="0.25">
      <c r="A2132" s="36">
        <v>41460</v>
      </c>
      <c r="B2132" s="121">
        <v>0.92199074074074072</v>
      </c>
      <c r="C2132" s="26" t="s">
        <v>1629</v>
      </c>
    </row>
    <row r="2133" spans="1:3" ht="45" x14ac:dyDescent="0.25">
      <c r="A2133" s="36">
        <v>41460</v>
      </c>
      <c r="B2133" s="121">
        <v>0.92206018518518518</v>
      </c>
      <c r="C2133" s="831" t="s">
        <v>1637</v>
      </c>
    </row>
    <row r="2134" spans="1:3" x14ac:dyDescent="0.25">
      <c r="A2134" s="36">
        <v>41460</v>
      </c>
      <c r="B2134" s="121">
        <v>0.92354166666666659</v>
      </c>
      <c r="C2134" s="26" t="s">
        <v>1638</v>
      </c>
    </row>
    <row r="2135" spans="1:3" x14ac:dyDescent="0.25">
      <c r="A2135" s="36">
        <v>41460</v>
      </c>
      <c r="B2135" s="121">
        <v>0.92456018518518512</v>
      </c>
      <c r="C2135" s="26" t="s">
        <v>1628</v>
      </c>
    </row>
    <row r="2136" spans="1:3" x14ac:dyDescent="0.25">
      <c r="A2136" s="36">
        <v>41460</v>
      </c>
      <c r="B2136" s="121">
        <v>0.92525462962962957</v>
      </c>
      <c r="C2136" s="26" t="s">
        <v>1629</v>
      </c>
    </row>
    <row r="2137" spans="1:3" ht="45" x14ac:dyDescent="0.25">
      <c r="A2137" s="36">
        <v>41460</v>
      </c>
      <c r="B2137" s="121">
        <v>0.9253703703703704</v>
      </c>
      <c r="C2137" s="831" t="s">
        <v>1639</v>
      </c>
    </row>
    <row r="2138" spans="1:3" x14ac:dyDescent="0.25">
      <c r="A2138" s="36">
        <v>41460</v>
      </c>
      <c r="B2138" s="121">
        <v>0.92623842592592587</v>
      </c>
      <c r="C2138" s="26" t="s">
        <v>1640</v>
      </c>
    </row>
    <row r="2139" spans="1:3" ht="30" x14ac:dyDescent="0.25">
      <c r="A2139" s="36">
        <v>41460</v>
      </c>
      <c r="B2139" s="121">
        <v>0.9262731481481481</v>
      </c>
      <c r="C2139" s="831" t="s">
        <v>1641</v>
      </c>
    </row>
    <row r="2140" spans="1:3" ht="30" x14ac:dyDescent="0.25">
      <c r="A2140" s="36">
        <v>41460</v>
      </c>
      <c r="B2140" s="121">
        <v>0.92663194444444441</v>
      </c>
      <c r="C2140" s="831" t="s">
        <v>1642</v>
      </c>
    </row>
    <row r="2141" spans="1:3" x14ac:dyDescent="0.25">
      <c r="A2141" s="36">
        <v>41460</v>
      </c>
      <c r="B2141" s="121">
        <v>0.92799768518518511</v>
      </c>
      <c r="C2141" s="26" t="s">
        <v>1643</v>
      </c>
    </row>
    <row r="2142" spans="1:3" x14ac:dyDescent="0.25">
      <c r="A2142" s="36">
        <v>41460</v>
      </c>
      <c r="B2142" s="121">
        <v>0.92950231481481482</v>
      </c>
      <c r="C2142" s="26" t="s">
        <v>1644</v>
      </c>
    </row>
    <row r="2143" spans="1:3" x14ac:dyDescent="0.25">
      <c r="A2143" s="36">
        <v>41460</v>
      </c>
      <c r="B2143" s="121">
        <v>0.93090277777777775</v>
      </c>
      <c r="C2143" s="26" t="s">
        <v>1628</v>
      </c>
    </row>
    <row r="2144" spans="1:3" x14ac:dyDescent="0.25">
      <c r="A2144" s="36">
        <v>41460</v>
      </c>
      <c r="B2144" s="121">
        <v>0.94369212962962967</v>
      </c>
      <c r="C2144" s="26" t="s">
        <v>1629</v>
      </c>
    </row>
    <row r="2145" spans="1:3" ht="45" x14ac:dyDescent="0.25">
      <c r="A2145" s="36">
        <v>41460</v>
      </c>
      <c r="B2145" s="121">
        <v>0.94376157407407402</v>
      </c>
      <c r="C2145" s="831" t="s">
        <v>1645</v>
      </c>
    </row>
    <row r="2146" spans="1:3" ht="45" x14ac:dyDescent="0.25">
      <c r="A2146" s="36">
        <v>41460</v>
      </c>
      <c r="B2146" s="121">
        <v>0.94390046296296293</v>
      </c>
      <c r="C2146" s="831" t="s">
        <v>1646</v>
      </c>
    </row>
    <row r="2147" spans="1:3" ht="30" x14ac:dyDescent="0.25">
      <c r="A2147" s="36">
        <v>41460</v>
      </c>
      <c r="B2147" s="121">
        <v>0.99321759259259268</v>
      </c>
      <c r="C2147" s="831" t="s">
        <v>1647</v>
      </c>
    </row>
    <row r="2148" spans="1:3" ht="30" x14ac:dyDescent="0.25">
      <c r="A2148" s="36">
        <v>41460</v>
      </c>
      <c r="B2148" s="121">
        <v>0.99337962962962967</v>
      </c>
      <c r="C2148" s="831" t="s">
        <v>1648</v>
      </c>
    </row>
    <row r="2149" spans="1:3" ht="45" x14ac:dyDescent="0.25">
      <c r="A2149" s="36">
        <v>41460</v>
      </c>
      <c r="B2149" s="121">
        <v>0.99365740740740749</v>
      </c>
      <c r="C2149" s="831" t="s">
        <v>1649</v>
      </c>
    </row>
    <row r="2150" spans="1:3" x14ac:dyDescent="0.25">
      <c r="A2150" s="36">
        <v>41460</v>
      </c>
      <c r="B2150" s="121">
        <v>0.99563657407407413</v>
      </c>
      <c r="C2150" s="26" t="s">
        <v>1229</v>
      </c>
    </row>
    <row r="2151" spans="1:3" x14ac:dyDescent="0.25">
      <c r="A2151" s="36">
        <v>41460</v>
      </c>
      <c r="B2151" s="121">
        <v>0.99563657407407413</v>
      </c>
      <c r="C2151" s="26" t="s">
        <v>1230</v>
      </c>
    </row>
    <row r="2152" spans="1:3" x14ac:dyDescent="0.25">
      <c r="A2152" s="36">
        <v>41460</v>
      </c>
      <c r="B2152" s="121">
        <v>0.99563657407407413</v>
      </c>
      <c r="C2152" s="26" t="s">
        <v>1231</v>
      </c>
    </row>
    <row r="2153" spans="1:3" x14ac:dyDescent="0.25">
      <c r="A2153" s="36">
        <v>41460</v>
      </c>
      <c r="B2153" s="121">
        <v>0.99563657407407413</v>
      </c>
      <c r="C2153" s="26" t="s">
        <v>1232</v>
      </c>
    </row>
    <row r="2154" spans="1:3" x14ac:dyDescent="0.25">
      <c r="A2154" s="36">
        <v>41460</v>
      </c>
      <c r="B2154" s="121">
        <v>0.99563657407407413</v>
      </c>
      <c r="C2154" s="26" t="s">
        <v>1233</v>
      </c>
    </row>
    <row r="2155" spans="1:3" x14ac:dyDescent="0.25">
      <c r="A2155" s="36">
        <v>41460</v>
      </c>
      <c r="B2155" s="121">
        <v>0.99563657407407413</v>
      </c>
      <c r="C2155" s="26" t="s">
        <v>1234</v>
      </c>
    </row>
    <row r="2156" spans="1:3" x14ac:dyDescent="0.25">
      <c r="A2156" s="36">
        <v>41460</v>
      </c>
      <c r="B2156" s="121">
        <v>0.99563657407407413</v>
      </c>
      <c r="C2156" s="26" t="s">
        <v>1235</v>
      </c>
    </row>
    <row r="2157" spans="1:3" x14ac:dyDescent="0.25">
      <c r="A2157" s="36">
        <v>41460</v>
      </c>
      <c r="B2157" s="121">
        <v>0.99563657407407413</v>
      </c>
      <c r="C2157" s="26" t="s">
        <v>1236</v>
      </c>
    </row>
    <row r="2158" spans="1:3" x14ac:dyDescent="0.25">
      <c r="A2158" s="36">
        <v>41460</v>
      </c>
      <c r="B2158" s="121">
        <v>0.99563657407407413</v>
      </c>
      <c r="C2158" s="26" t="s">
        <v>1237</v>
      </c>
    </row>
    <row r="2159" spans="1:3" x14ac:dyDescent="0.25">
      <c r="A2159" s="36">
        <v>41460</v>
      </c>
      <c r="B2159" s="121">
        <v>0.99563657407407413</v>
      </c>
      <c r="C2159" s="26" t="s">
        <v>1238</v>
      </c>
    </row>
    <row r="2160" spans="1:3" x14ac:dyDescent="0.25">
      <c r="A2160" s="36">
        <v>41460</v>
      </c>
      <c r="B2160" s="121">
        <v>0.99563657407407413</v>
      </c>
      <c r="C2160" s="26" t="s">
        <v>1239</v>
      </c>
    </row>
    <row r="2161" spans="1:3" x14ac:dyDescent="0.25">
      <c r="A2161" s="36">
        <v>41460</v>
      </c>
      <c r="B2161" s="121">
        <v>0.99563657407407413</v>
      </c>
      <c r="C2161" s="26" t="s">
        <v>1240</v>
      </c>
    </row>
    <row r="2162" spans="1:3" x14ac:dyDescent="0.25">
      <c r="A2162" s="36">
        <v>41460</v>
      </c>
      <c r="B2162" s="121">
        <v>0.99563657407407413</v>
      </c>
      <c r="C2162" s="26" t="s">
        <v>1241</v>
      </c>
    </row>
    <row r="2163" spans="1:3" x14ac:dyDescent="0.25">
      <c r="A2163" s="36">
        <v>41460</v>
      </c>
      <c r="B2163" s="121">
        <v>0.99563657407407413</v>
      </c>
      <c r="C2163" s="26" t="s">
        <v>1242</v>
      </c>
    </row>
    <row r="2164" spans="1:3" x14ac:dyDescent="0.25">
      <c r="A2164" s="36">
        <v>41460</v>
      </c>
      <c r="B2164" s="121">
        <v>0.99563657407407413</v>
      </c>
      <c r="C2164" s="26" t="s">
        <v>1243</v>
      </c>
    </row>
    <row r="2165" spans="1:3" x14ac:dyDescent="0.25">
      <c r="A2165" s="36">
        <v>41460</v>
      </c>
      <c r="B2165" s="121">
        <v>0.99563657407407413</v>
      </c>
      <c r="C2165" s="26" t="s">
        <v>1244</v>
      </c>
    </row>
    <row r="2166" spans="1:3" x14ac:dyDescent="0.25">
      <c r="A2166" s="36">
        <v>41460</v>
      </c>
      <c r="B2166" s="121">
        <v>0.99563657407407413</v>
      </c>
      <c r="C2166" s="26" t="s">
        <v>1245</v>
      </c>
    </row>
    <row r="2167" spans="1:3" x14ac:dyDescent="0.25">
      <c r="A2167" s="36">
        <v>41460</v>
      </c>
      <c r="B2167" s="121">
        <v>0.99563657407407413</v>
      </c>
      <c r="C2167" s="26" t="s">
        <v>1233</v>
      </c>
    </row>
    <row r="2168" spans="1:3" x14ac:dyDescent="0.25">
      <c r="A2168" s="36">
        <v>41460</v>
      </c>
      <c r="B2168" s="121">
        <v>0.99563657407407413</v>
      </c>
      <c r="C2168" s="26" t="s">
        <v>1248</v>
      </c>
    </row>
    <row r="2169" spans="1:3" x14ac:dyDescent="0.25">
      <c r="A2169" s="36">
        <v>41460</v>
      </c>
      <c r="B2169" s="121">
        <v>0.99563657407407413</v>
      </c>
      <c r="C2169" s="26" t="s">
        <v>1249</v>
      </c>
    </row>
    <row r="2170" spans="1:3" x14ac:dyDescent="0.25">
      <c r="A2170" s="36">
        <v>41460</v>
      </c>
      <c r="B2170" s="121">
        <v>0.99563657407407413</v>
      </c>
      <c r="C2170" s="26" t="s">
        <v>1250</v>
      </c>
    </row>
    <row r="2171" spans="1:3" x14ac:dyDescent="0.25">
      <c r="A2171" s="36">
        <v>41460</v>
      </c>
      <c r="B2171" s="121">
        <v>0.99563657407407413</v>
      </c>
      <c r="C2171" s="26" t="s">
        <v>1251</v>
      </c>
    </row>
    <row r="2172" spans="1:3" x14ac:dyDescent="0.25">
      <c r="A2172" s="36">
        <v>41460</v>
      </c>
      <c r="B2172" s="121">
        <v>0.99563657407407413</v>
      </c>
      <c r="C2172" s="26" t="s">
        <v>1252</v>
      </c>
    </row>
    <row r="2173" spans="1:3" x14ac:dyDescent="0.25">
      <c r="A2173" s="36">
        <v>41460</v>
      </c>
      <c r="B2173" s="121">
        <v>0.99563657407407413</v>
      </c>
      <c r="C2173" s="26" t="s">
        <v>1253</v>
      </c>
    </row>
    <row r="2174" spans="1:3" x14ac:dyDescent="0.25">
      <c r="A2174" s="36">
        <v>41460</v>
      </c>
      <c r="B2174" s="121">
        <v>0.99563657407407413</v>
      </c>
      <c r="C2174" s="26" t="s">
        <v>1254</v>
      </c>
    </row>
    <row r="2175" spans="1:3" x14ac:dyDescent="0.25">
      <c r="A2175" s="36">
        <v>41460</v>
      </c>
      <c r="B2175" s="121">
        <v>0.99563657407407413</v>
      </c>
      <c r="C2175" s="26" t="s">
        <v>1255</v>
      </c>
    </row>
    <row r="2176" spans="1:3" x14ac:dyDescent="0.25">
      <c r="A2176" s="36">
        <v>41460</v>
      </c>
      <c r="B2176" s="121">
        <v>0.99563657407407413</v>
      </c>
      <c r="C2176" s="26" t="s">
        <v>1236</v>
      </c>
    </row>
    <row r="2177" spans="1:3" x14ac:dyDescent="0.25">
      <c r="A2177" s="36">
        <v>41460</v>
      </c>
      <c r="B2177" s="121">
        <v>0.99563657407407413</v>
      </c>
      <c r="C2177" s="26" t="s">
        <v>1257</v>
      </c>
    </row>
    <row r="2178" spans="1:3" x14ac:dyDescent="0.25">
      <c r="A2178" s="36">
        <v>41460</v>
      </c>
      <c r="B2178" s="121">
        <v>0.99563657407407413</v>
      </c>
      <c r="C2178" s="26" t="s">
        <v>1258</v>
      </c>
    </row>
    <row r="2179" spans="1:3" x14ac:dyDescent="0.25">
      <c r="A2179" s="36">
        <v>41460</v>
      </c>
      <c r="B2179" s="121">
        <v>0.99563657407407413</v>
      </c>
      <c r="C2179" s="26" t="s">
        <v>1259</v>
      </c>
    </row>
    <row r="2180" spans="1:3" x14ac:dyDescent="0.25">
      <c r="A2180" s="36">
        <v>41460</v>
      </c>
      <c r="B2180" s="121">
        <v>0.99563657407407413</v>
      </c>
      <c r="C2180" s="26" t="s">
        <v>1260</v>
      </c>
    </row>
    <row r="2181" spans="1:3" x14ac:dyDescent="0.25">
      <c r="A2181" s="36">
        <v>41460</v>
      </c>
      <c r="B2181" s="121">
        <v>0.99563657407407413</v>
      </c>
      <c r="C2181" s="26" t="s">
        <v>1260</v>
      </c>
    </row>
    <row r="2182" spans="1:3" x14ac:dyDescent="0.25">
      <c r="A2182" s="36">
        <v>41460</v>
      </c>
      <c r="B2182" s="121">
        <v>0.99563657407407413</v>
      </c>
      <c r="C2182" s="26" t="s">
        <v>1261</v>
      </c>
    </row>
    <row r="2183" spans="1:3" x14ac:dyDescent="0.25">
      <c r="A2183" s="36">
        <v>41460</v>
      </c>
      <c r="B2183" s="121">
        <v>0.99563657407407413</v>
      </c>
      <c r="C2183" s="26" t="s">
        <v>1260</v>
      </c>
    </row>
    <row r="2184" spans="1:3" x14ac:dyDescent="0.25">
      <c r="A2184" s="36">
        <v>41460</v>
      </c>
      <c r="B2184" s="121">
        <v>0.99563657407407413</v>
      </c>
      <c r="C2184" s="26" t="s">
        <v>1260</v>
      </c>
    </row>
    <row r="2185" spans="1:3" x14ac:dyDescent="0.25">
      <c r="A2185" s="36">
        <v>41460</v>
      </c>
      <c r="B2185" s="121">
        <v>0.99563657407407413</v>
      </c>
      <c r="C2185" s="26" t="s">
        <v>1236</v>
      </c>
    </row>
    <row r="2186" spans="1:3" x14ac:dyDescent="0.25">
      <c r="A2186" s="36">
        <v>41460</v>
      </c>
      <c r="B2186" s="121">
        <v>0.99563657407407413</v>
      </c>
      <c r="C2186" s="26" t="s">
        <v>1262</v>
      </c>
    </row>
    <row r="2187" spans="1:3" x14ac:dyDescent="0.25">
      <c r="A2187" s="36">
        <v>41460</v>
      </c>
      <c r="B2187" s="121">
        <v>0.99563657407407413</v>
      </c>
      <c r="C2187" s="26" t="s">
        <v>1254</v>
      </c>
    </row>
    <row r="2188" spans="1:3" x14ac:dyDescent="0.25">
      <c r="A2188" s="36">
        <v>41460</v>
      </c>
      <c r="B2188" s="121">
        <v>0.99563657407407413</v>
      </c>
      <c r="C2188" s="26" t="s">
        <v>1254</v>
      </c>
    </row>
    <row r="2189" spans="1:3" x14ac:dyDescent="0.25">
      <c r="A2189" s="36">
        <v>41460</v>
      </c>
      <c r="B2189" s="121">
        <v>0.99563657407407413</v>
      </c>
      <c r="C2189" s="26" t="s">
        <v>1263</v>
      </c>
    </row>
    <row r="2190" spans="1:3" x14ac:dyDescent="0.25">
      <c r="A2190" s="36">
        <v>41460</v>
      </c>
      <c r="B2190" s="121">
        <v>0.99563657407407413</v>
      </c>
      <c r="C2190" s="26" t="s">
        <v>1254</v>
      </c>
    </row>
    <row r="2191" spans="1:3" x14ac:dyDescent="0.25">
      <c r="A2191" s="36">
        <v>41460</v>
      </c>
      <c r="B2191" s="121">
        <v>0.99563657407407413</v>
      </c>
      <c r="C2191" s="26" t="s">
        <v>1252</v>
      </c>
    </row>
    <row r="2192" spans="1:3" x14ac:dyDescent="0.25">
      <c r="A2192" s="36">
        <v>41460</v>
      </c>
      <c r="B2192" s="121">
        <v>0.99563657407407413</v>
      </c>
      <c r="C2192" s="26" t="s">
        <v>1260</v>
      </c>
    </row>
    <row r="2193" spans="1:3" x14ac:dyDescent="0.25">
      <c r="A2193" s="36">
        <v>41460</v>
      </c>
      <c r="B2193" s="121">
        <v>0.99563657407407413</v>
      </c>
      <c r="C2193" s="26" t="s">
        <v>1264</v>
      </c>
    </row>
    <row r="2194" spans="1:3" x14ac:dyDescent="0.25">
      <c r="A2194" s="36">
        <v>41460</v>
      </c>
      <c r="B2194" s="121">
        <v>0.99563657407407413</v>
      </c>
      <c r="C2194" s="26" t="s">
        <v>1265</v>
      </c>
    </row>
    <row r="2195" spans="1:3" x14ac:dyDescent="0.25">
      <c r="A2195" s="36">
        <v>41460</v>
      </c>
      <c r="B2195" s="121">
        <v>0.99563657407407413</v>
      </c>
      <c r="C2195" s="26" t="s">
        <v>1260</v>
      </c>
    </row>
    <row r="2196" spans="1:3" x14ac:dyDescent="0.25">
      <c r="A2196" s="36">
        <v>41460</v>
      </c>
      <c r="B2196" s="121">
        <v>0.99563657407407413</v>
      </c>
      <c r="C2196" s="26" t="s">
        <v>1267</v>
      </c>
    </row>
    <row r="2197" spans="1:3" x14ac:dyDescent="0.25">
      <c r="A2197" s="36">
        <v>41460</v>
      </c>
      <c r="B2197" s="121">
        <v>0.99563657407407413</v>
      </c>
      <c r="C2197" s="26" t="s">
        <v>1268</v>
      </c>
    </row>
    <row r="2198" spans="1:3" x14ac:dyDescent="0.25">
      <c r="A2198" s="36">
        <v>41460</v>
      </c>
      <c r="B2198" s="121">
        <v>0.99563657407407413</v>
      </c>
      <c r="C2198" s="26" t="s">
        <v>1269</v>
      </c>
    </row>
    <row r="2199" spans="1:3" x14ac:dyDescent="0.25">
      <c r="A2199" s="36">
        <v>41460</v>
      </c>
      <c r="B2199" s="121">
        <v>0.99563657407407413</v>
      </c>
      <c r="C2199" s="26" t="s">
        <v>1270</v>
      </c>
    </row>
    <row r="2200" spans="1:3" x14ac:dyDescent="0.25">
      <c r="A2200" s="36">
        <v>41460</v>
      </c>
      <c r="B2200" s="121">
        <v>0.99563657407407413</v>
      </c>
      <c r="C2200" s="26" t="s">
        <v>1271</v>
      </c>
    </row>
    <row r="2201" spans="1:3" x14ac:dyDescent="0.25">
      <c r="A2201" s="36">
        <v>41460</v>
      </c>
      <c r="B2201" s="121">
        <v>0.99563657407407413</v>
      </c>
      <c r="C2201" s="26" t="s">
        <v>1272</v>
      </c>
    </row>
    <row r="2202" spans="1:3" x14ac:dyDescent="0.25">
      <c r="A2202" s="36">
        <v>41460</v>
      </c>
      <c r="B2202" s="121">
        <v>0.99563657407407413</v>
      </c>
      <c r="C2202" s="26" t="s">
        <v>1273</v>
      </c>
    </row>
    <row r="2203" spans="1:3" x14ac:dyDescent="0.25">
      <c r="A2203" s="36">
        <v>41460</v>
      </c>
      <c r="B2203" s="121">
        <v>0.99563657407407413</v>
      </c>
      <c r="C2203" s="26" t="s">
        <v>1274</v>
      </c>
    </row>
    <row r="2204" spans="1:3" x14ac:dyDescent="0.25">
      <c r="A2204" s="36">
        <v>41460</v>
      </c>
      <c r="B2204" s="121">
        <v>0.99563657407407413</v>
      </c>
      <c r="C2204" s="26" t="s">
        <v>1275</v>
      </c>
    </row>
    <row r="2205" spans="1:3" x14ac:dyDescent="0.25">
      <c r="A2205" s="36">
        <v>41460</v>
      </c>
      <c r="B2205" s="121">
        <v>0.99563657407407413</v>
      </c>
      <c r="C2205" s="26" t="s">
        <v>1276</v>
      </c>
    </row>
    <row r="2206" spans="1:3" x14ac:dyDescent="0.25">
      <c r="A2206" s="36">
        <v>41460</v>
      </c>
      <c r="B2206" s="121">
        <v>0.99563657407407413</v>
      </c>
      <c r="C2206" s="26" t="s">
        <v>1277</v>
      </c>
    </row>
    <row r="2207" spans="1:3" x14ac:dyDescent="0.25">
      <c r="A2207" s="36">
        <v>41460</v>
      </c>
      <c r="B2207" s="121">
        <v>0.99563657407407413</v>
      </c>
      <c r="C2207" s="26" t="s">
        <v>1260</v>
      </c>
    </row>
    <row r="2208" spans="1:3" x14ac:dyDescent="0.25">
      <c r="A2208" s="36">
        <v>41460</v>
      </c>
      <c r="B2208" s="121">
        <v>0.99563657407407413</v>
      </c>
      <c r="C2208" s="26" t="s">
        <v>1277</v>
      </c>
    </row>
    <row r="2209" spans="1:3" x14ac:dyDescent="0.25">
      <c r="A2209" s="36">
        <v>41460</v>
      </c>
      <c r="B2209" s="121">
        <v>0.99563657407407413</v>
      </c>
      <c r="C2209" s="26" t="s">
        <v>1278</v>
      </c>
    </row>
    <row r="2210" spans="1:3" x14ac:dyDescent="0.25">
      <c r="A2210" s="36">
        <v>41460</v>
      </c>
      <c r="B2210" s="121">
        <v>0.99563657407407413</v>
      </c>
      <c r="C2210" s="26" t="s">
        <v>1277</v>
      </c>
    </row>
    <row r="2211" spans="1:3" x14ac:dyDescent="0.25">
      <c r="A2211" s="36">
        <v>41460</v>
      </c>
      <c r="B2211" s="121">
        <v>0.99563657407407413</v>
      </c>
      <c r="C2211" s="26" t="s">
        <v>1277</v>
      </c>
    </row>
    <row r="2212" spans="1:3" x14ac:dyDescent="0.25">
      <c r="A2212" s="36">
        <v>41460</v>
      </c>
      <c r="B2212" s="121">
        <v>0.99563657407407413</v>
      </c>
      <c r="C2212" s="26" t="s">
        <v>1281</v>
      </c>
    </row>
    <row r="2213" spans="1:3" x14ac:dyDescent="0.25">
      <c r="A2213" s="36">
        <v>41460</v>
      </c>
      <c r="B2213" s="121">
        <v>0.99563657407407413</v>
      </c>
      <c r="C2213" s="26" t="s">
        <v>1282</v>
      </c>
    </row>
    <row r="2214" spans="1:3" x14ac:dyDescent="0.25">
      <c r="A2214" s="36">
        <v>41460</v>
      </c>
      <c r="B2214" s="121">
        <v>0.99563657407407413</v>
      </c>
      <c r="C2214" s="26" t="s">
        <v>1283</v>
      </c>
    </row>
    <row r="2215" spans="1:3" x14ac:dyDescent="0.25">
      <c r="A2215" s="36">
        <v>41460</v>
      </c>
      <c r="B2215" s="121">
        <v>0.99563657407407413</v>
      </c>
      <c r="C2215" s="26" t="s">
        <v>1284</v>
      </c>
    </row>
    <row r="2216" spans="1:3" x14ac:dyDescent="0.25">
      <c r="A2216" s="36">
        <v>41460</v>
      </c>
      <c r="B2216" s="121">
        <v>0.99563657407407413</v>
      </c>
      <c r="C2216" s="26" t="s">
        <v>1284</v>
      </c>
    </row>
    <row r="2217" spans="1:3" x14ac:dyDescent="0.25">
      <c r="A2217" s="36">
        <v>41460</v>
      </c>
      <c r="B2217" s="121">
        <v>0.99563657407407413</v>
      </c>
      <c r="C2217" s="26" t="s">
        <v>1285</v>
      </c>
    </row>
    <row r="2218" spans="1:3" x14ac:dyDescent="0.25">
      <c r="A2218" s="36">
        <v>41460</v>
      </c>
      <c r="B2218" s="121">
        <v>0.99563657407407413</v>
      </c>
      <c r="C2218" s="26" t="s">
        <v>1286</v>
      </c>
    </row>
    <row r="2219" spans="1:3" x14ac:dyDescent="0.25">
      <c r="A2219" s="36">
        <v>41460</v>
      </c>
      <c r="B2219" s="121">
        <v>0.99563657407407413</v>
      </c>
      <c r="C2219" s="26" t="s">
        <v>1287</v>
      </c>
    </row>
    <row r="2220" spans="1:3" x14ac:dyDescent="0.25">
      <c r="A2220" s="36">
        <v>41460</v>
      </c>
      <c r="B2220" s="121">
        <v>0.99563657407407413</v>
      </c>
      <c r="C2220" s="26" t="s">
        <v>1288</v>
      </c>
    </row>
    <row r="2221" spans="1:3" x14ac:dyDescent="0.25">
      <c r="A2221" s="36">
        <v>41460</v>
      </c>
      <c r="B2221" s="121">
        <v>0.99563657407407413</v>
      </c>
      <c r="C2221" s="26" t="s">
        <v>1289</v>
      </c>
    </row>
    <row r="2222" spans="1:3" x14ac:dyDescent="0.25">
      <c r="A2222" s="36">
        <v>41460</v>
      </c>
      <c r="B2222" s="121">
        <v>0.99563657407407413</v>
      </c>
      <c r="C2222" s="26" t="s">
        <v>1263</v>
      </c>
    </row>
    <row r="2223" spans="1:3" x14ac:dyDescent="0.25">
      <c r="A2223" s="36">
        <v>41460</v>
      </c>
      <c r="B2223" s="121">
        <v>0.99563657407407413</v>
      </c>
      <c r="C2223" s="26" t="s">
        <v>1290</v>
      </c>
    </row>
    <row r="2224" spans="1:3" x14ac:dyDescent="0.25">
      <c r="A2224" s="36">
        <v>41460</v>
      </c>
      <c r="B2224" s="121">
        <v>0.99563657407407413</v>
      </c>
      <c r="C2224" s="26" t="s">
        <v>1291</v>
      </c>
    </row>
    <row r="2225" spans="1:3" x14ac:dyDescent="0.25">
      <c r="A2225" s="36">
        <v>41460</v>
      </c>
      <c r="B2225" s="121">
        <v>0.99563657407407413</v>
      </c>
      <c r="C2225" s="26" t="s">
        <v>1293</v>
      </c>
    </row>
    <row r="2226" spans="1:3" x14ac:dyDescent="0.25">
      <c r="A2226" s="36">
        <v>41460</v>
      </c>
      <c r="B2226" s="121">
        <v>0.99563657407407413</v>
      </c>
      <c r="C2226" s="26" t="s">
        <v>1294</v>
      </c>
    </row>
    <row r="2227" spans="1:3" x14ac:dyDescent="0.25">
      <c r="A2227" s="36">
        <v>41460</v>
      </c>
      <c r="B2227" s="121">
        <v>0.99563657407407413</v>
      </c>
      <c r="C2227" s="26" t="s">
        <v>1295</v>
      </c>
    </row>
    <row r="2228" spans="1:3" x14ac:dyDescent="0.25">
      <c r="A2228" s="36">
        <v>41460</v>
      </c>
      <c r="B2228" s="121">
        <v>0.99563657407407413</v>
      </c>
      <c r="C2228" s="26" t="s">
        <v>1299</v>
      </c>
    </row>
    <row r="2229" spans="1:3" x14ac:dyDescent="0.25">
      <c r="A2229" s="36">
        <v>41460</v>
      </c>
      <c r="B2229" s="121">
        <v>0.99563657407407413</v>
      </c>
      <c r="C2229" s="26" t="s">
        <v>1267</v>
      </c>
    </row>
    <row r="2230" spans="1:3" x14ac:dyDescent="0.25">
      <c r="A2230" s="36">
        <v>41460</v>
      </c>
      <c r="B2230" s="121">
        <v>0.99563657407407413</v>
      </c>
      <c r="C2230" s="26" t="s">
        <v>1301</v>
      </c>
    </row>
    <row r="2231" spans="1:3" x14ac:dyDescent="0.25">
      <c r="A2231" s="36">
        <v>41460</v>
      </c>
      <c r="B2231" s="121">
        <v>0.99563657407407413</v>
      </c>
      <c r="C2231" s="26" t="s">
        <v>1302</v>
      </c>
    </row>
    <row r="2232" spans="1:3" x14ac:dyDescent="0.25">
      <c r="A2232" s="36">
        <v>41460</v>
      </c>
      <c r="B2232" s="121">
        <v>0.99563657407407413</v>
      </c>
      <c r="C2232" s="26" t="s">
        <v>1303</v>
      </c>
    </row>
    <row r="2233" spans="1:3" x14ac:dyDescent="0.25">
      <c r="A2233" s="36">
        <v>41460</v>
      </c>
      <c r="B2233" s="121">
        <v>0.99563657407407413</v>
      </c>
      <c r="C2233" s="26" t="s">
        <v>1304</v>
      </c>
    </row>
    <row r="2234" spans="1:3" x14ac:dyDescent="0.25">
      <c r="A2234" s="36">
        <v>41460</v>
      </c>
      <c r="B2234" s="121">
        <v>0.99563657407407413</v>
      </c>
      <c r="C2234" s="26" t="s">
        <v>1252</v>
      </c>
    </row>
    <row r="2235" spans="1:3" x14ac:dyDescent="0.25">
      <c r="A2235" s="36">
        <v>41460</v>
      </c>
      <c r="B2235" s="121">
        <v>0.99563657407407413</v>
      </c>
      <c r="C2235" s="26" t="s">
        <v>1305</v>
      </c>
    </row>
    <row r="2236" spans="1:3" x14ac:dyDescent="0.25">
      <c r="A2236" s="36">
        <v>41460</v>
      </c>
      <c r="B2236" s="121">
        <v>0.99563657407407413</v>
      </c>
      <c r="C2236" s="26" t="s">
        <v>1306</v>
      </c>
    </row>
    <row r="2237" spans="1:3" x14ac:dyDescent="0.25">
      <c r="A2237" s="36">
        <v>41460</v>
      </c>
      <c r="B2237" s="121">
        <v>0.99563657407407413</v>
      </c>
      <c r="C2237" s="26" t="s">
        <v>1290</v>
      </c>
    </row>
    <row r="2238" spans="1:3" x14ac:dyDescent="0.25">
      <c r="A2238" s="36">
        <v>41460</v>
      </c>
      <c r="B2238" s="121">
        <v>0.99563657407407413</v>
      </c>
      <c r="C2238" s="26" t="s">
        <v>1308</v>
      </c>
    </row>
    <row r="2239" spans="1:3" x14ac:dyDescent="0.25">
      <c r="A2239" s="36">
        <v>41460</v>
      </c>
      <c r="B2239" s="121">
        <v>0.99563657407407413</v>
      </c>
      <c r="C2239" s="26" t="s">
        <v>1308</v>
      </c>
    </row>
    <row r="2240" spans="1:3" x14ac:dyDescent="0.25">
      <c r="A2240" s="36">
        <v>41460</v>
      </c>
      <c r="B2240" s="121">
        <v>0.99563657407407413</v>
      </c>
      <c r="C2240" s="26" t="s">
        <v>1309</v>
      </c>
    </row>
    <row r="2241" spans="1:3" x14ac:dyDescent="0.25">
      <c r="A2241" s="36">
        <v>41460</v>
      </c>
      <c r="B2241" s="121">
        <v>0.99563657407407413</v>
      </c>
      <c r="C2241" s="26" t="s">
        <v>1303</v>
      </c>
    </row>
    <row r="2242" spans="1:3" x14ac:dyDescent="0.25">
      <c r="A2242" s="36">
        <v>41460</v>
      </c>
      <c r="B2242" s="121">
        <v>0.99563657407407413</v>
      </c>
      <c r="C2242" s="26" t="s">
        <v>1310</v>
      </c>
    </row>
    <row r="2243" spans="1:3" x14ac:dyDescent="0.25">
      <c r="A2243" s="36">
        <v>41460</v>
      </c>
      <c r="B2243" s="121">
        <v>0.99563657407407413</v>
      </c>
      <c r="C2243" s="26" t="s">
        <v>1311</v>
      </c>
    </row>
    <row r="2244" spans="1:3" x14ac:dyDescent="0.25">
      <c r="A2244" s="36">
        <v>41460</v>
      </c>
      <c r="B2244" s="121">
        <v>0.99563657407407413</v>
      </c>
      <c r="C2244" s="26" t="s">
        <v>1312</v>
      </c>
    </row>
    <row r="2245" spans="1:3" x14ac:dyDescent="0.25">
      <c r="A2245" s="36">
        <v>41460</v>
      </c>
      <c r="B2245" s="121">
        <v>0.99563657407407413</v>
      </c>
      <c r="C2245" s="26" t="s">
        <v>1273</v>
      </c>
    </row>
    <row r="2246" spans="1:3" x14ac:dyDescent="0.25">
      <c r="A2246" s="36">
        <v>41460</v>
      </c>
      <c r="B2246" s="121">
        <v>0.99563657407407413</v>
      </c>
      <c r="C2246" s="26" t="s">
        <v>1313</v>
      </c>
    </row>
    <row r="2247" spans="1:3" x14ac:dyDescent="0.25">
      <c r="A2247" s="36">
        <v>41460</v>
      </c>
      <c r="B2247" s="121">
        <v>0.99563657407407413</v>
      </c>
      <c r="C2247" s="26" t="s">
        <v>1650</v>
      </c>
    </row>
    <row r="2248" spans="1:3" x14ac:dyDescent="0.25">
      <c r="A2248" s="36">
        <v>41460</v>
      </c>
      <c r="B2248" s="121">
        <v>0.99563657407407413</v>
      </c>
      <c r="C2248" s="26" t="s">
        <v>1314</v>
      </c>
    </row>
    <row r="2249" spans="1:3" x14ac:dyDescent="0.25">
      <c r="A2249" s="36">
        <v>41460</v>
      </c>
      <c r="B2249" s="121">
        <v>0.99563657407407413</v>
      </c>
      <c r="C2249" s="26" t="s">
        <v>1315</v>
      </c>
    </row>
    <row r="2250" spans="1:3" x14ac:dyDescent="0.25">
      <c r="A2250" s="36">
        <v>41460</v>
      </c>
      <c r="B2250" s="121">
        <v>0.99563657407407413</v>
      </c>
      <c r="C2250" s="26" t="s">
        <v>1310</v>
      </c>
    </row>
    <row r="2251" spans="1:3" x14ac:dyDescent="0.25">
      <c r="A2251" s="36">
        <v>41460</v>
      </c>
      <c r="B2251" s="121">
        <v>0.99563657407407413</v>
      </c>
      <c r="C2251" s="26" t="s">
        <v>1316</v>
      </c>
    </row>
    <row r="2252" spans="1:3" x14ac:dyDescent="0.25">
      <c r="A2252" s="36">
        <v>41460</v>
      </c>
      <c r="B2252" s="121">
        <v>0.99563657407407413</v>
      </c>
      <c r="C2252" s="26" t="s">
        <v>1317</v>
      </c>
    </row>
    <row r="2253" spans="1:3" x14ac:dyDescent="0.25">
      <c r="A2253" s="36">
        <v>41460</v>
      </c>
      <c r="B2253" s="121">
        <v>0.99563657407407413</v>
      </c>
      <c r="C2253" s="26" t="s">
        <v>1254</v>
      </c>
    </row>
    <row r="2254" spans="1:3" x14ac:dyDescent="0.25">
      <c r="A2254" s="36">
        <v>41460</v>
      </c>
      <c r="B2254" s="121">
        <v>0.99563657407407413</v>
      </c>
      <c r="C2254" s="26" t="s">
        <v>1254</v>
      </c>
    </row>
    <row r="2255" spans="1:3" x14ac:dyDescent="0.25">
      <c r="A2255" s="36">
        <v>41460</v>
      </c>
      <c r="B2255" s="121">
        <v>0.99563657407407413</v>
      </c>
      <c r="C2255" s="26" t="s">
        <v>1254</v>
      </c>
    </row>
    <row r="2256" spans="1:3" x14ac:dyDescent="0.25">
      <c r="A2256" s="36">
        <v>41460</v>
      </c>
      <c r="B2256" s="121">
        <v>0.99563657407407413</v>
      </c>
      <c r="C2256" s="26" t="s">
        <v>1318</v>
      </c>
    </row>
    <row r="2257" spans="1:3" x14ac:dyDescent="0.25">
      <c r="A2257" s="36">
        <v>41460</v>
      </c>
      <c r="B2257" s="121">
        <v>0.99563657407407413</v>
      </c>
      <c r="C2257" s="26" t="s">
        <v>1319</v>
      </c>
    </row>
    <row r="2258" spans="1:3" x14ac:dyDescent="0.25">
      <c r="A2258" s="36">
        <v>41460</v>
      </c>
      <c r="B2258" s="121">
        <v>0.99563657407407413</v>
      </c>
      <c r="C2258" s="26" t="s">
        <v>1265</v>
      </c>
    </row>
    <row r="2259" spans="1:3" x14ac:dyDescent="0.25">
      <c r="A2259" s="36">
        <v>41460</v>
      </c>
      <c r="B2259" s="121">
        <v>0.99563657407407413</v>
      </c>
      <c r="C2259" s="26" t="s">
        <v>1323</v>
      </c>
    </row>
    <row r="2260" spans="1:3" x14ac:dyDescent="0.25">
      <c r="A2260" s="36">
        <v>41460</v>
      </c>
      <c r="B2260" s="121">
        <v>0.99563657407407413</v>
      </c>
      <c r="C2260" s="26" t="s">
        <v>1267</v>
      </c>
    </row>
    <row r="2261" spans="1:3" x14ac:dyDescent="0.25">
      <c r="A2261" s="36">
        <v>41460</v>
      </c>
      <c r="B2261" s="121">
        <v>0.99563657407407413</v>
      </c>
      <c r="C2261" s="26" t="s">
        <v>1324</v>
      </c>
    </row>
    <row r="2262" spans="1:3" x14ac:dyDescent="0.25">
      <c r="A2262" s="36">
        <v>41460</v>
      </c>
      <c r="B2262" s="121">
        <v>0.99563657407407413</v>
      </c>
      <c r="C2262" s="26" t="s">
        <v>1325</v>
      </c>
    </row>
    <row r="2263" spans="1:3" x14ac:dyDescent="0.25">
      <c r="A2263" s="36">
        <v>41460</v>
      </c>
      <c r="B2263" s="121">
        <v>0.99563657407407413</v>
      </c>
      <c r="C2263" s="26" t="s">
        <v>1326</v>
      </c>
    </row>
    <row r="2264" spans="1:3" x14ac:dyDescent="0.25">
      <c r="A2264" s="36">
        <v>41460</v>
      </c>
      <c r="B2264" s="121">
        <v>0.99563657407407413</v>
      </c>
      <c r="C2264" s="26" t="s">
        <v>1328</v>
      </c>
    </row>
    <row r="2265" spans="1:3" x14ac:dyDescent="0.25">
      <c r="A2265" s="36">
        <v>41460</v>
      </c>
      <c r="B2265" s="121">
        <v>0.99563657407407413</v>
      </c>
      <c r="C2265" s="26" t="s">
        <v>1329</v>
      </c>
    </row>
    <row r="2266" spans="1:3" x14ac:dyDescent="0.25">
      <c r="A2266" s="36">
        <v>41460</v>
      </c>
      <c r="B2266" s="121">
        <v>0.99563657407407413</v>
      </c>
      <c r="C2266" s="26" t="s">
        <v>1329</v>
      </c>
    </row>
    <row r="2267" spans="1:3" x14ac:dyDescent="0.25">
      <c r="A2267" s="36">
        <v>41460</v>
      </c>
      <c r="B2267" s="121">
        <v>0.99563657407407413</v>
      </c>
      <c r="C2267" s="26" t="s">
        <v>1330</v>
      </c>
    </row>
    <row r="2268" spans="1:3" x14ac:dyDescent="0.25">
      <c r="A2268" s="36">
        <v>41460</v>
      </c>
      <c r="B2268" s="121">
        <v>0.99563657407407413</v>
      </c>
      <c r="C2268" s="26" t="s">
        <v>1262</v>
      </c>
    </row>
    <row r="2269" spans="1:3" x14ac:dyDescent="0.25">
      <c r="A2269" s="36">
        <v>41460</v>
      </c>
      <c r="B2269" s="121">
        <v>0.99563657407407413</v>
      </c>
      <c r="C2269" s="26" t="s">
        <v>1331</v>
      </c>
    </row>
    <row r="2270" spans="1:3" x14ac:dyDescent="0.25">
      <c r="A2270" s="36">
        <v>41460</v>
      </c>
      <c r="B2270" s="121">
        <v>0.99563657407407413</v>
      </c>
      <c r="C2270" s="26" t="s">
        <v>1332</v>
      </c>
    </row>
    <row r="2271" spans="1:3" x14ac:dyDescent="0.25">
      <c r="A2271" s="36">
        <v>41460</v>
      </c>
      <c r="B2271" s="121">
        <v>0.99563657407407413</v>
      </c>
      <c r="C2271" s="26" t="s">
        <v>1332</v>
      </c>
    </row>
    <row r="2272" spans="1:3" x14ac:dyDescent="0.25">
      <c r="A2272" s="36">
        <v>41460</v>
      </c>
      <c r="B2272" s="121">
        <v>0.99563657407407413</v>
      </c>
      <c r="C2272" s="26" t="s">
        <v>1333</v>
      </c>
    </row>
    <row r="2273" spans="1:3" x14ac:dyDescent="0.25">
      <c r="A2273" s="36">
        <v>41460</v>
      </c>
      <c r="B2273" s="121">
        <v>0.99563657407407413</v>
      </c>
      <c r="C2273" s="26" t="s">
        <v>1334</v>
      </c>
    </row>
    <row r="2274" spans="1:3" x14ac:dyDescent="0.25">
      <c r="A2274" s="36">
        <v>41460</v>
      </c>
      <c r="B2274" s="121">
        <v>0.99563657407407413</v>
      </c>
      <c r="C2274" s="26" t="s">
        <v>1336</v>
      </c>
    </row>
    <row r="2275" spans="1:3" x14ac:dyDescent="0.25">
      <c r="A2275" s="36">
        <v>41460</v>
      </c>
      <c r="B2275" s="121">
        <v>0.99563657407407413</v>
      </c>
      <c r="C2275" s="26" t="s">
        <v>1338</v>
      </c>
    </row>
    <row r="2276" spans="1:3" x14ac:dyDescent="0.25">
      <c r="A2276" s="36">
        <v>41460</v>
      </c>
      <c r="B2276" s="121">
        <v>0.99563657407407413</v>
      </c>
      <c r="C2276" s="26" t="s">
        <v>1339</v>
      </c>
    </row>
    <row r="2277" spans="1:3" x14ac:dyDescent="0.25">
      <c r="A2277" s="36">
        <v>41460</v>
      </c>
      <c r="B2277" s="121">
        <v>0.99563657407407413</v>
      </c>
      <c r="C2277" s="26" t="s">
        <v>1340</v>
      </c>
    </row>
    <row r="2278" spans="1:3" x14ac:dyDescent="0.25">
      <c r="A2278" s="36">
        <v>41460</v>
      </c>
      <c r="B2278" s="121">
        <v>0.99563657407407413</v>
      </c>
      <c r="C2278" s="26" t="s">
        <v>1340</v>
      </c>
    </row>
    <row r="2279" spans="1:3" x14ac:dyDescent="0.25">
      <c r="A2279" s="36">
        <v>41460</v>
      </c>
      <c r="B2279" s="121">
        <v>0.99563657407407413</v>
      </c>
      <c r="C2279" s="26" t="s">
        <v>1265</v>
      </c>
    </row>
    <row r="2280" spans="1:3" x14ac:dyDescent="0.25">
      <c r="A2280" s="36">
        <v>41460</v>
      </c>
      <c r="B2280" s="121">
        <v>0.99563657407407413</v>
      </c>
      <c r="C2280" s="26" t="s">
        <v>1338</v>
      </c>
    </row>
    <row r="2281" spans="1:3" x14ac:dyDescent="0.25">
      <c r="A2281" s="36">
        <v>41460</v>
      </c>
      <c r="B2281" s="121">
        <v>0.99563657407407413</v>
      </c>
      <c r="C2281" s="26" t="s">
        <v>1252</v>
      </c>
    </row>
    <row r="2282" spans="1:3" x14ac:dyDescent="0.25">
      <c r="A2282" s="36">
        <v>41460</v>
      </c>
      <c r="B2282" s="121">
        <v>0.99563657407407413</v>
      </c>
      <c r="C2282" s="26" t="s">
        <v>1341</v>
      </c>
    </row>
    <row r="2283" spans="1:3" x14ac:dyDescent="0.25">
      <c r="A2283" s="36">
        <v>41460</v>
      </c>
      <c r="B2283" s="121">
        <v>0.99563657407407413</v>
      </c>
      <c r="C2283" s="26" t="s">
        <v>1342</v>
      </c>
    </row>
    <row r="2284" spans="1:3" x14ac:dyDescent="0.25">
      <c r="A2284" s="36">
        <v>41460</v>
      </c>
      <c r="B2284" s="121">
        <v>0.99563657407407413</v>
      </c>
      <c r="C2284" s="26" t="s">
        <v>1343</v>
      </c>
    </row>
    <row r="2285" spans="1:3" x14ac:dyDescent="0.25">
      <c r="A2285" s="36">
        <v>41460</v>
      </c>
      <c r="B2285" s="121">
        <v>0.99563657407407413</v>
      </c>
      <c r="C2285" s="26" t="s">
        <v>1344</v>
      </c>
    </row>
    <row r="2286" spans="1:3" x14ac:dyDescent="0.25">
      <c r="A2286" s="36">
        <v>41460</v>
      </c>
      <c r="B2286" s="121">
        <v>0.99563657407407413</v>
      </c>
      <c r="C2286" s="26" t="s">
        <v>1345</v>
      </c>
    </row>
    <row r="2287" spans="1:3" x14ac:dyDescent="0.25">
      <c r="A2287" s="36">
        <v>41460</v>
      </c>
      <c r="B2287" s="121">
        <v>0.99563657407407413</v>
      </c>
      <c r="C2287" s="26" t="s">
        <v>1332</v>
      </c>
    </row>
    <row r="2288" spans="1:3" x14ac:dyDescent="0.25">
      <c r="A2288" s="36">
        <v>41460</v>
      </c>
      <c r="B2288" s="121">
        <v>0.99563657407407413</v>
      </c>
      <c r="C2288" s="26" t="s">
        <v>1346</v>
      </c>
    </row>
    <row r="2289" spans="1:3" x14ac:dyDescent="0.25">
      <c r="A2289" s="36">
        <v>41460</v>
      </c>
      <c r="B2289" s="121">
        <v>0.99563657407407413</v>
      </c>
      <c r="C2289" s="26" t="s">
        <v>1315</v>
      </c>
    </row>
    <row r="2290" spans="1:3" x14ac:dyDescent="0.25">
      <c r="A2290" s="36">
        <v>41460</v>
      </c>
      <c r="B2290" s="121">
        <v>0.99563657407407413</v>
      </c>
      <c r="C2290" s="26" t="s">
        <v>1348</v>
      </c>
    </row>
    <row r="2291" spans="1:3" x14ac:dyDescent="0.25">
      <c r="A2291" s="36">
        <v>41460</v>
      </c>
      <c r="B2291" s="121">
        <v>0.99563657407407413</v>
      </c>
      <c r="C2291" s="26" t="s">
        <v>1314</v>
      </c>
    </row>
    <row r="2292" spans="1:3" x14ac:dyDescent="0.25">
      <c r="A2292" s="36">
        <v>41460</v>
      </c>
      <c r="B2292" s="121">
        <v>0.99563657407407413</v>
      </c>
      <c r="C2292" s="26" t="s">
        <v>1349</v>
      </c>
    </row>
    <row r="2293" spans="1:3" x14ac:dyDescent="0.25">
      <c r="A2293" s="36">
        <v>41460</v>
      </c>
      <c r="B2293" s="121">
        <v>0.99563657407407413</v>
      </c>
      <c r="C2293" s="26" t="s">
        <v>1351</v>
      </c>
    </row>
    <row r="2294" spans="1:3" x14ac:dyDescent="0.25">
      <c r="A2294" s="36">
        <v>41460</v>
      </c>
      <c r="B2294" s="121">
        <v>0.99563657407407413</v>
      </c>
      <c r="C2294" s="26" t="s">
        <v>1352</v>
      </c>
    </row>
    <row r="2295" spans="1:3" x14ac:dyDescent="0.25">
      <c r="A2295" s="36">
        <v>41460</v>
      </c>
      <c r="B2295" s="121">
        <v>0.99563657407407413</v>
      </c>
      <c r="C2295" s="26" t="s">
        <v>1341</v>
      </c>
    </row>
    <row r="2296" spans="1:3" x14ac:dyDescent="0.25">
      <c r="A2296" s="36">
        <v>41460</v>
      </c>
      <c r="B2296" s="121">
        <v>0.99563657407407413</v>
      </c>
      <c r="C2296" s="26" t="s">
        <v>1486</v>
      </c>
    </row>
    <row r="2297" spans="1:3" x14ac:dyDescent="0.25">
      <c r="A2297" s="36">
        <v>41460</v>
      </c>
      <c r="B2297" s="121">
        <v>0.99563657407407413</v>
      </c>
      <c r="C2297" s="26" t="s">
        <v>1487</v>
      </c>
    </row>
    <row r="2298" spans="1:3" x14ac:dyDescent="0.25">
      <c r="A2298" s="36">
        <v>41460</v>
      </c>
      <c r="B2298" s="121">
        <v>0.99563657407407413</v>
      </c>
      <c r="C2298" s="26" t="s">
        <v>1259</v>
      </c>
    </row>
    <row r="2299" spans="1:3" x14ac:dyDescent="0.25">
      <c r="A2299" s="36">
        <v>41460</v>
      </c>
      <c r="B2299" s="121">
        <v>0.99563657407407413</v>
      </c>
      <c r="C2299" s="26" t="s">
        <v>1488</v>
      </c>
    </row>
    <row r="2300" spans="1:3" x14ac:dyDescent="0.25">
      <c r="A2300" s="36">
        <v>41460</v>
      </c>
      <c r="B2300" s="121">
        <v>0.99563657407407413</v>
      </c>
      <c r="C2300" s="26" t="s">
        <v>1557</v>
      </c>
    </row>
    <row r="2301" spans="1:3" x14ac:dyDescent="0.25">
      <c r="A2301" s="36">
        <v>41460</v>
      </c>
      <c r="B2301" s="121">
        <v>0.99563657407407413</v>
      </c>
      <c r="C2301" s="26" t="s">
        <v>1558</v>
      </c>
    </row>
    <row r="2302" spans="1:3" x14ac:dyDescent="0.25">
      <c r="A2302" s="36">
        <v>41460</v>
      </c>
      <c r="B2302" s="121">
        <v>0.99563657407407413</v>
      </c>
      <c r="C2302" s="26" t="s">
        <v>1651</v>
      </c>
    </row>
    <row r="2303" spans="1:3" x14ac:dyDescent="0.25">
      <c r="A2303" s="36">
        <v>41460</v>
      </c>
      <c r="B2303" s="121">
        <v>0.99563657407407413</v>
      </c>
      <c r="C2303" s="26" t="s">
        <v>1560</v>
      </c>
    </row>
    <row r="2304" spans="1:3" x14ac:dyDescent="0.25">
      <c r="A2304" s="36">
        <v>41460</v>
      </c>
      <c r="B2304" s="121">
        <v>0.99563657407407413</v>
      </c>
      <c r="C2304" s="26" t="s">
        <v>1561</v>
      </c>
    </row>
    <row r="2305" spans="1:3" x14ac:dyDescent="0.25">
      <c r="A2305" s="36">
        <v>41460</v>
      </c>
      <c r="B2305" s="121">
        <v>0.99563657407407413</v>
      </c>
      <c r="C2305" s="26" t="s">
        <v>1342</v>
      </c>
    </row>
    <row r="2306" spans="1:3" x14ac:dyDescent="0.25">
      <c r="A2306" s="36">
        <v>41460</v>
      </c>
      <c r="B2306" s="121">
        <v>0.99563657407407413</v>
      </c>
      <c r="C2306" s="26" t="s">
        <v>1562</v>
      </c>
    </row>
    <row r="2307" spans="1:3" x14ac:dyDescent="0.25">
      <c r="A2307" s="36">
        <v>41460</v>
      </c>
      <c r="B2307" s="121">
        <v>0.99563657407407413</v>
      </c>
      <c r="C2307" s="26" t="s">
        <v>1586</v>
      </c>
    </row>
    <row r="2308" spans="1:3" x14ac:dyDescent="0.25">
      <c r="A2308" s="36">
        <v>41460</v>
      </c>
      <c r="B2308" s="121">
        <v>0.99563657407407413</v>
      </c>
      <c r="C2308" s="26" t="s">
        <v>1587</v>
      </c>
    </row>
    <row r="2309" spans="1:3" x14ac:dyDescent="0.25">
      <c r="A2309" s="36">
        <v>41460</v>
      </c>
      <c r="B2309" s="121">
        <v>0.99563657407407413</v>
      </c>
      <c r="C2309" s="26" t="s">
        <v>1652</v>
      </c>
    </row>
    <row r="2310" spans="1:3" x14ac:dyDescent="0.25">
      <c r="A2310" s="36">
        <v>41460</v>
      </c>
      <c r="B2310" s="121">
        <v>0.99563657407407413</v>
      </c>
      <c r="C2310" s="26" t="s">
        <v>1488</v>
      </c>
    </row>
    <row r="2311" spans="1:3" x14ac:dyDescent="0.25">
      <c r="A2311" s="36">
        <v>41460</v>
      </c>
      <c r="B2311" s="121">
        <v>0.99563657407407413</v>
      </c>
      <c r="C2311" s="26" t="s">
        <v>1653</v>
      </c>
    </row>
    <row r="2312" spans="1:3" x14ac:dyDescent="0.25">
      <c r="A2312" s="36">
        <v>41460</v>
      </c>
      <c r="B2312" s="121">
        <v>0.99563657407407413</v>
      </c>
      <c r="C2312" s="26" t="s">
        <v>1276</v>
      </c>
    </row>
    <row r="2313" spans="1:3" x14ac:dyDescent="0.25">
      <c r="A2313" s="36">
        <v>41460</v>
      </c>
      <c r="B2313" s="121">
        <v>0.99563657407407413</v>
      </c>
      <c r="C2313" s="26" t="s">
        <v>1654</v>
      </c>
    </row>
    <row r="2314" spans="1:3" x14ac:dyDescent="0.25">
      <c r="A2314" s="36">
        <v>41460</v>
      </c>
      <c r="B2314" s="121">
        <v>0.99563657407407413</v>
      </c>
      <c r="C2314" s="26" t="s">
        <v>1655</v>
      </c>
    </row>
    <row r="2315" spans="1:3" x14ac:dyDescent="0.25">
      <c r="A2315" s="36">
        <v>41460</v>
      </c>
      <c r="B2315" s="121">
        <v>0.99563657407407413</v>
      </c>
      <c r="C2315" s="26" t="s">
        <v>1655</v>
      </c>
    </row>
    <row r="2316" spans="1:3" x14ac:dyDescent="0.25">
      <c r="A2316" s="36">
        <v>41460</v>
      </c>
      <c r="B2316" s="121">
        <v>0.99563657407407413</v>
      </c>
      <c r="C2316" s="26" t="s">
        <v>1656</v>
      </c>
    </row>
    <row r="2317" spans="1:3" x14ac:dyDescent="0.25">
      <c r="A2317" s="36">
        <v>41460</v>
      </c>
      <c r="B2317" s="121">
        <v>0.99563657407407413</v>
      </c>
      <c r="C2317" s="26" t="s">
        <v>1334</v>
      </c>
    </row>
    <row r="2318" spans="1:3" x14ac:dyDescent="0.25">
      <c r="A2318" s="36">
        <v>41460</v>
      </c>
      <c r="B2318" s="121">
        <v>0.99563657407407413</v>
      </c>
      <c r="C2318" s="26" t="s">
        <v>1352</v>
      </c>
    </row>
    <row r="2319" spans="1:3" x14ac:dyDescent="0.25">
      <c r="A2319" s="36">
        <v>41460</v>
      </c>
      <c r="B2319" s="121">
        <v>0.99563657407407413</v>
      </c>
      <c r="C2319" s="26" t="s">
        <v>1657</v>
      </c>
    </row>
    <row r="2320" spans="1:3" x14ac:dyDescent="0.25">
      <c r="A2320" s="36">
        <v>41460</v>
      </c>
      <c r="B2320" s="121">
        <v>0.99563657407407413</v>
      </c>
      <c r="C2320" s="26" t="s">
        <v>1658</v>
      </c>
    </row>
    <row r="2321" spans="1:3" x14ac:dyDescent="0.25">
      <c r="A2321" s="36">
        <v>41460</v>
      </c>
      <c r="B2321" s="121">
        <v>0.99563657407407413</v>
      </c>
      <c r="C2321" s="26" t="s">
        <v>1659</v>
      </c>
    </row>
    <row r="2322" spans="1:3" x14ac:dyDescent="0.25">
      <c r="A2322" s="36">
        <v>41460</v>
      </c>
      <c r="B2322" s="121">
        <v>0.99563657407407413</v>
      </c>
      <c r="C2322" s="26" t="s">
        <v>1653</v>
      </c>
    </row>
    <row r="2323" spans="1:3" x14ac:dyDescent="0.25">
      <c r="A2323" s="36">
        <v>41460</v>
      </c>
      <c r="B2323" s="121">
        <v>0.99563657407407413</v>
      </c>
      <c r="C2323" s="26" t="s">
        <v>1333</v>
      </c>
    </row>
    <row r="2324" spans="1:3" x14ac:dyDescent="0.25">
      <c r="A2324" s="36">
        <v>41460</v>
      </c>
      <c r="B2324" s="121">
        <v>0.99563657407407413</v>
      </c>
      <c r="C2324" s="26" t="s">
        <v>1660</v>
      </c>
    </row>
    <row r="2325" spans="1:3" x14ac:dyDescent="0.25">
      <c r="A2325" s="36">
        <v>41460</v>
      </c>
      <c r="B2325" s="121">
        <v>0.99563657407407413</v>
      </c>
      <c r="C2325" s="26" t="s">
        <v>1661</v>
      </c>
    </row>
    <row r="2326" spans="1:3" x14ac:dyDescent="0.25">
      <c r="A2326" s="36">
        <v>41460</v>
      </c>
      <c r="B2326" s="121">
        <v>0.99563657407407413</v>
      </c>
      <c r="C2326" s="26" t="s">
        <v>1662</v>
      </c>
    </row>
    <row r="2327" spans="1:3" x14ac:dyDescent="0.25">
      <c r="A2327" s="36">
        <v>41460</v>
      </c>
      <c r="B2327" s="121">
        <v>0.99563657407407413</v>
      </c>
      <c r="C2327" s="26" t="s">
        <v>1663</v>
      </c>
    </row>
    <row r="2328" spans="1:3" x14ac:dyDescent="0.25">
      <c r="A2328" s="36">
        <v>41460</v>
      </c>
      <c r="B2328" s="121">
        <v>0.99563657407407413</v>
      </c>
      <c r="C2328" s="26" t="s">
        <v>1343</v>
      </c>
    </row>
    <row r="2329" spans="1:3" x14ac:dyDescent="0.25">
      <c r="A2329" s="36">
        <v>41460</v>
      </c>
      <c r="B2329" s="121">
        <v>0.99563657407407413</v>
      </c>
      <c r="C2329" s="26" t="s">
        <v>1488</v>
      </c>
    </row>
    <row r="2330" spans="1:3" x14ac:dyDescent="0.25">
      <c r="A2330" s="36">
        <v>41460</v>
      </c>
      <c r="B2330" s="121">
        <v>0.99563657407407413</v>
      </c>
      <c r="C2330" s="26" t="s">
        <v>1252</v>
      </c>
    </row>
    <row r="2331" spans="1:3" x14ac:dyDescent="0.25">
      <c r="A2331" s="36">
        <v>41460</v>
      </c>
      <c r="B2331" s="121">
        <v>0.99563657407407413</v>
      </c>
      <c r="C2331" s="26" t="s">
        <v>1664</v>
      </c>
    </row>
    <row r="2332" spans="1:3" x14ac:dyDescent="0.25">
      <c r="A2332" s="36">
        <v>41460</v>
      </c>
      <c r="B2332" s="121">
        <v>0.99563657407407413</v>
      </c>
      <c r="C2332" s="26" t="s">
        <v>1265</v>
      </c>
    </row>
    <row r="2333" spans="1:3" x14ac:dyDescent="0.25">
      <c r="A2333" s="36">
        <v>41460</v>
      </c>
      <c r="B2333" s="121">
        <v>0.99563657407407413</v>
      </c>
      <c r="C2333" s="26" t="s">
        <v>1665</v>
      </c>
    </row>
    <row r="2334" spans="1:3" x14ac:dyDescent="0.25">
      <c r="A2334" s="36">
        <v>41460</v>
      </c>
      <c r="B2334" s="121">
        <v>0.99563657407407413</v>
      </c>
      <c r="C2334" s="26" t="s">
        <v>1666</v>
      </c>
    </row>
    <row r="2335" spans="1:3" x14ac:dyDescent="0.25">
      <c r="A2335" s="36">
        <v>41460</v>
      </c>
      <c r="B2335" s="121">
        <v>0.99563657407407413</v>
      </c>
      <c r="C2335" s="26" t="s">
        <v>1667</v>
      </c>
    </row>
    <row r="2336" spans="1:3" x14ac:dyDescent="0.25">
      <c r="A2336" s="36">
        <v>41460</v>
      </c>
      <c r="B2336" s="121">
        <v>0.99563657407407413</v>
      </c>
      <c r="C2336" s="26" t="s">
        <v>1667</v>
      </c>
    </row>
    <row r="2337" spans="1:3" x14ac:dyDescent="0.25">
      <c r="A2337" s="36">
        <v>41460</v>
      </c>
      <c r="B2337" s="121">
        <v>0.99563657407407413</v>
      </c>
      <c r="C2337" s="26" t="s">
        <v>1668</v>
      </c>
    </row>
    <row r="2338" spans="1:3" x14ac:dyDescent="0.25">
      <c r="A2338" s="36">
        <v>41460</v>
      </c>
      <c r="B2338" s="121">
        <v>0.99563657407407413</v>
      </c>
      <c r="C2338" s="26" t="s">
        <v>1660</v>
      </c>
    </row>
    <row r="2339" spans="1:3" x14ac:dyDescent="0.25">
      <c r="A2339" s="36">
        <v>41460</v>
      </c>
      <c r="B2339" s="121">
        <v>0.99563657407407413</v>
      </c>
      <c r="C2339" s="26" t="s">
        <v>1610</v>
      </c>
    </row>
    <row r="2340" spans="1:3" x14ac:dyDescent="0.25">
      <c r="A2340" s="36">
        <v>41460</v>
      </c>
      <c r="B2340" s="121">
        <v>0.99866898148148142</v>
      </c>
      <c r="C2340" s="26" t="s">
        <v>1213</v>
      </c>
    </row>
    <row r="2341" spans="1:3" x14ac:dyDescent="0.25">
      <c r="A2341" s="36">
        <v>41460</v>
      </c>
      <c r="B2341" s="121">
        <v>0.99866898148148142</v>
      </c>
      <c r="C2341" s="26" t="s">
        <v>1214</v>
      </c>
    </row>
    <row r="2342" spans="1:3" x14ac:dyDescent="0.25">
      <c r="A2342" s="36">
        <v>41460</v>
      </c>
      <c r="B2342" s="121">
        <v>0.99866898148148142</v>
      </c>
      <c r="C2342" s="26" t="s">
        <v>1214</v>
      </c>
    </row>
    <row r="2343" spans="1:3" x14ac:dyDescent="0.25">
      <c r="A2343" s="36">
        <v>41460</v>
      </c>
      <c r="B2343" s="121">
        <v>0.99866898148148142</v>
      </c>
      <c r="C2343" s="26" t="s">
        <v>1217</v>
      </c>
    </row>
    <row r="2344" spans="1:3" x14ac:dyDescent="0.25">
      <c r="A2344" s="36">
        <v>41460</v>
      </c>
      <c r="B2344" s="121">
        <v>0.99866898148148142</v>
      </c>
      <c r="C2344" s="26" t="s">
        <v>1219</v>
      </c>
    </row>
    <row r="2345" spans="1:3" x14ac:dyDescent="0.25">
      <c r="A2345" s="36">
        <v>41460</v>
      </c>
      <c r="B2345" s="121">
        <v>0.99866898148148142</v>
      </c>
      <c r="C2345" s="26" t="s">
        <v>1221</v>
      </c>
    </row>
    <row r="2346" spans="1:3" x14ac:dyDescent="0.25">
      <c r="A2346" s="36">
        <v>41460</v>
      </c>
      <c r="B2346" s="121">
        <v>0.99866898148148142</v>
      </c>
      <c r="C2346" s="26" t="s">
        <v>1214</v>
      </c>
    </row>
    <row r="2347" spans="1:3" x14ac:dyDescent="0.25">
      <c r="A2347" s="36">
        <v>41460</v>
      </c>
      <c r="B2347" s="121">
        <v>0.99866898148148142</v>
      </c>
      <c r="C2347" s="26" t="s">
        <v>1223</v>
      </c>
    </row>
    <row r="2348" spans="1:3" x14ac:dyDescent="0.25">
      <c r="A2348" s="36">
        <v>41460</v>
      </c>
      <c r="B2348" s="121">
        <v>0.99866898148148142</v>
      </c>
      <c r="C2348" s="26" t="s">
        <v>1223</v>
      </c>
    </row>
    <row r="2349" spans="1:3" x14ac:dyDescent="0.25">
      <c r="A2349" s="36">
        <v>41460</v>
      </c>
      <c r="B2349" s="121">
        <v>0.99866898148148142</v>
      </c>
      <c r="C2349" s="26" t="s">
        <v>1224</v>
      </c>
    </row>
    <row r="2350" spans="1:3" x14ac:dyDescent="0.25">
      <c r="A2350" s="36">
        <v>41460</v>
      </c>
      <c r="B2350" s="121">
        <v>0.99866898148148142</v>
      </c>
      <c r="C2350" s="26" t="s">
        <v>1219</v>
      </c>
    </row>
    <row r="2351" spans="1:3" x14ac:dyDescent="0.25">
      <c r="A2351" s="36">
        <v>41460</v>
      </c>
      <c r="B2351" s="121">
        <v>0.99866898148148142</v>
      </c>
      <c r="C2351" s="26" t="s">
        <v>1219</v>
      </c>
    </row>
    <row r="2352" spans="1:3" x14ac:dyDescent="0.25">
      <c r="A2352" s="36">
        <v>41460</v>
      </c>
      <c r="B2352" s="121">
        <v>0.99866898148148142</v>
      </c>
      <c r="C2352" s="26" t="s">
        <v>1225</v>
      </c>
    </row>
    <row r="2353" spans="1:3" x14ac:dyDescent="0.25">
      <c r="A2353" s="36">
        <v>41460</v>
      </c>
      <c r="B2353" s="121">
        <v>0.99866898148148142</v>
      </c>
      <c r="C2353" s="26" t="s">
        <v>1226</v>
      </c>
    </row>
    <row r="2354" spans="1:3" x14ac:dyDescent="0.25">
      <c r="A2354" s="36">
        <v>41460</v>
      </c>
      <c r="B2354" s="121">
        <v>0.99866898148148142</v>
      </c>
      <c r="C2354" s="26" t="s">
        <v>1226</v>
      </c>
    </row>
    <row r="2355" spans="1:3" x14ac:dyDescent="0.25">
      <c r="A2355" s="36">
        <v>41460</v>
      </c>
      <c r="B2355" s="121">
        <v>0.99866898148148142</v>
      </c>
      <c r="C2355" s="26" t="s">
        <v>1227</v>
      </c>
    </row>
    <row r="2356" spans="1:3" x14ac:dyDescent="0.25">
      <c r="A2356" s="36">
        <v>41460</v>
      </c>
      <c r="B2356" s="121">
        <v>0.99866898148148142</v>
      </c>
      <c r="C2356" s="26" t="s">
        <v>1227</v>
      </c>
    </row>
    <row r="2357" spans="1:3" x14ac:dyDescent="0.25">
      <c r="A2357" s="36">
        <v>41460</v>
      </c>
      <c r="B2357" s="121">
        <v>0.99866898148148142</v>
      </c>
      <c r="C2357" s="26" t="s">
        <v>1214</v>
      </c>
    </row>
    <row r="2358" spans="1:3" x14ac:dyDescent="0.25">
      <c r="A2358" s="36">
        <v>41460</v>
      </c>
      <c r="B2358" s="121">
        <v>0.99866898148148142</v>
      </c>
      <c r="C2358" s="26" t="s">
        <v>1223</v>
      </c>
    </row>
    <row r="2359" spans="1:3" x14ac:dyDescent="0.25">
      <c r="A2359" s="36">
        <v>41460</v>
      </c>
      <c r="B2359" s="121">
        <v>0.99866898148148142</v>
      </c>
      <c r="C2359" s="26" t="s">
        <v>1223</v>
      </c>
    </row>
    <row r="2360" spans="1:3" x14ac:dyDescent="0.25">
      <c r="A2360" s="36">
        <v>41460</v>
      </c>
      <c r="B2360" s="121">
        <v>0.99866898148148142</v>
      </c>
      <c r="C2360" s="26" t="s">
        <v>1220</v>
      </c>
    </row>
    <row r="2361" spans="1:3" x14ac:dyDescent="0.25">
      <c r="A2361" s="36">
        <v>41460</v>
      </c>
      <c r="B2361" s="121">
        <v>0.99866898148148142</v>
      </c>
      <c r="C2361" s="26" t="s">
        <v>1669</v>
      </c>
    </row>
    <row r="2362" spans="1:3" x14ac:dyDescent="0.25">
      <c r="A2362" s="36">
        <v>41460</v>
      </c>
      <c r="B2362" s="121">
        <v>0.99866898148148142</v>
      </c>
      <c r="C2362" s="26" t="s">
        <v>1223</v>
      </c>
    </row>
    <row r="2363" spans="1:3" x14ac:dyDescent="0.25">
      <c r="A2363" s="36">
        <v>41460</v>
      </c>
      <c r="B2363" s="121">
        <v>0.99887731481481479</v>
      </c>
      <c r="C2363" s="26" t="s">
        <v>1213</v>
      </c>
    </row>
    <row r="2364" spans="1:3" x14ac:dyDescent="0.25">
      <c r="A2364" s="36">
        <v>41460</v>
      </c>
      <c r="B2364" s="121">
        <v>0.99887731481481479</v>
      </c>
      <c r="C2364" s="26" t="s">
        <v>1214</v>
      </c>
    </row>
    <row r="2365" spans="1:3" x14ac:dyDescent="0.25">
      <c r="A2365" s="36">
        <v>41460</v>
      </c>
      <c r="B2365" s="121">
        <v>0.99887731481481479</v>
      </c>
      <c r="C2365" s="26" t="s">
        <v>1214</v>
      </c>
    </row>
    <row r="2366" spans="1:3" x14ac:dyDescent="0.25">
      <c r="A2366" s="36">
        <v>41460</v>
      </c>
      <c r="B2366" s="121">
        <v>0.99887731481481479</v>
      </c>
      <c r="C2366" s="26" t="s">
        <v>1217</v>
      </c>
    </row>
    <row r="2367" spans="1:3" x14ac:dyDescent="0.25">
      <c r="A2367" s="36">
        <v>41460</v>
      </c>
      <c r="B2367" s="121">
        <v>0.99887731481481479</v>
      </c>
      <c r="C2367" s="26" t="s">
        <v>1219</v>
      </c>
    </row>
    <row r="2368" spans="1:3" x14ac:dyDescent="0.25">
      <c r="A2368" s="36">
        <v>41460</v>
      </c>
      <c r="B2368" s="121">
        <v>0.99887731481481479</v>
      </c>
      <c r="C2368" s="26" t="s">
        <v>1221</v>
      </c>
    </row>
    <row r="2369" spans="1:3" x14ac:dyDescent="0.25">
      <c r="A2369" s="36">
        <v>41460</v>
      </c>
      <c r="B2369" s="121">
        <v>0.99887731481481479</v>
      </c>
      <c r="C2369" s="26" t="s">
        <v>1214</v>
      </c>
    </row>
    <row r="2370" spans="1:3" x14ac:dyDescent="0.25">
      <c r="A2370" s="36">
        <v>41460</v>
      </c>
      <c r="B2370" s="121">
        <v>0.99887731481481479</v>
      </c>
      <c r="C2370" s="26" t="s">
        <v>1223</v>
      </c>
    </row>
    <row r="2371" spans="1:3" x14ac:dyDescent="0.25">
      <c r="A2371" s="36">
        <v>41460</v>
      </c>
      <c r="B2371" s="121">
        <v>0.99887731481481479</v>
      </c>
      <c r="C2371" s="26" t="s">
        <v>1223</v>
      </c>
    </row>
    <row r="2372" spans="1:3" x14ac:dyDescent="0.25">
      <c r="A2372" s="36">
        <v>41460</v>
      </c>
      <c r="B2372" s="121">
        <v>0.99887731481481479</v>
      </c>
      <c r="C2372" s="26" t="s">
        <v>1224</v>
      </c>
    </row>
    <row r="2373" spans="1:3" x14ac:dyDescent="0.25">
      <c r="A2373" s="36">
        <v>41460</v>
      </c>
      <c r="B2373" s="121">
        <v>0.99887731481481479</v>
      </c>
      <c r="C2373" s="26" t="s">
        <v>1219</v>
      </c>
    </row>
    <row r="2374" spans="1:3" x14ac:dyDescent="0.25">
      <c r="A2374" s="36">
        <v>41460</v>
      </c>
      <c r="B2374" s="121">
        <v>0.99887731481481479</v>
      </c>
      <c r="C2374" s="26" t="s">
        <v>1219</v>
      </c>
    </row>
    <row r="2375" spans="1:3" x14ac:dyDescent="0.25">
      <c r="A2375" s="36">
        <v>41460</v>
      </c>
      <c r="B2375" s="121">
        <v>0.99887731481481479</v>
      </c>
      <c r="C2375" s="26" t="s">
        <v>1225</v>
      </c>
    </row>
    <row r="2376" spans="1:3" x14ac:dyDescent="0.25">
      <c r="A2376" s="36">
        <v>41460</v>
      </c>
      <c r="B2376" s="121">
        <v>0.99887731481481479</v>
      </c>
      <c r="C2376" s="26" t="s">
        <v>1226</v>
      </c>
    </row>
    <row r="2377" spans="1:3" x14ac:dyDescent="0.25">
      <c r="A2377" s="36">
        <v>41460</v>
      </c>
      <c r="B2377" s="121">
        <v>0.99887731481481479</v>
      </c>
      <c r="C2377" s="26" t="s">
        <v>1226</v>
      </c>
    </row>
    <row r="2378" spans="1:3" x14ac:dyDescent="0.25">
      <c r="A2378" s="36">
        <v>41460</v>
      </c>
      <c r="B2378" s="121">
        <v>0.99887731481481479</v>
      </c>
      <c r="C2378" s="26" t="s">
        <v>1227</v>
      </c>
    </row>
    <row r="2379" spans="1:3" x14ac:dyDescent="0.25">
      <c r="A2379" s="36">
        <v>41460</v>
      </c>
      <c r="B2379" s="121">
        <v>0.99887731481481479</v>
      </c>
      <c r="C2379" s="26" t="s">
        <v>1227</v>
      </c>
    </row>
    <row r="2380" spans="1:3" x14ac:dyDescent="0.25">
      <c r="A2380" s="36">
        <v>41460</v>
      </c>
      <c r="B2380" s="121">
        <v>0.99887731481481479</v>
      </c>
      <c r="C2380" s="26" t="s">
        <v>1214</v>
      </c>
    </row>
    <row r="2381" spans="1:3" x14ac:dyDescent="0.25">
      <c r="A2381" s="36">
        <v>41460</v>
      </c>
      <c r="B2381" s="121">
        <v>0.99887731481481479</v>
      </c>
      <c r="C2381" s="26" t="s">
        <v>1223</v>
      </c>
    </row>
    <row r="2382" spans="1:3" x14ac:dyDescent="0.25">
      <c r="A2382" s="36">
        <v>41460</v>
      </c>
      <c r="B2382" s="121">
        <v>0.99887731481481479</v>
      </c>
      <c r="C2382" s="26" t="s">
        <v>1223</v>
      </c>
    </row>
    <row r="2383" spans="1:3" x14ac:dyDescent="0.25">
      <c r="A2383" s="36">
        <v>41460</v>
      </c>
      <c r="B2383" s="121">
        <v>0.99887731481481479</v>
      </c>
      <c r="C2383" s="26" t="s">
        <v>1220</v>
      </c>
    </row>
    <row r="2384" spans="1:3" x14ac:dyDescent="0.25">
      <c r="A2384" s="36">
        <v>41460</v>
      </c>
      <c r="B2384" s="121">
        <v>0.99887731481481479</v>
      </c>
      <c r="C2384" s="26" t="s">
        <v>1669</v>
      </c>
    </row>
    <row r="2385" spans="1:3" x14ac:dyDescent="0.25">
      <c r="A2385" s="36">
        <v>41460</v>
      </c>
      <c r="B2385" s="121">
        <v>0.99887731481481479</v>
      </c>
      <c r="C2385" s="26" t="s">
        <v>1223</v>
      </c>
    </row>
    <row r="2386" spans="1:3" x14ac:dyDescent="0.25">
      <c r="A2386" s="36">
        <v>41461</v>
      </c>
      <c r="B2386" s="121">
        <v>4.5138888888888892E-4</v>
      </c>
      <c r="C2386" s="26" t="s">
        <v>1670</v>
      </c>
    </row>
    <row r="2387" spans="1:3" ht="30" x14ac:dyDescent="0.25">
      <c r="A2387" s="36">
        <v>41461</v>
      </c>
      <c r="B2387" s="121">
        <v>7.7546296296296304E-4</v>
      </c>
      <c r="C2387" s="831" t="s">
        <v>1671</v>
      </c>
    </row>
    <row r="2388" spans="1:3" ht="60" x14ac:dyDescent="0.25">
      <c r="A2388" s="36">
        <v>41461</v>
      </c>
      <c r="B2388" s="121">
        <v>7.8703703703703705E-4</v>
      </c>
      <c r="C2388" s="831" t="s">
        <v>1522</v>
      </c>
    </row>
    <row r="2389" spans="1:3" x14ac:dyDescent="0.25">
      <c r="A2389" s="36">
        <v>41469</v>
      </c>
      <c r="B2389" s="121">
        <v>0.56359953703703702</v>
      </c>
      <c r="C2389" s="26" t="s">
        <v>1672</v>
      </c>
    </row>
    <row r="2390" spans="1:3" ht="60" x14ac:dyDescent="0.25">
      <c r="A2390" s="36">
        <v>41469</v>
      </c>
      <c r="B2390" s="121">
        <v>0.56379629629629624</v>
      </c>
      <c r="C2390" s="831" t="s">
        <v>1522</v>
      </c>
    </row>
    <row r="2391" spans="1:3" x14ac:dyDescent="0.25">
      <c r="A2391" s="36">
        <v>41469</v>
      </c>
      <c r="B2391" s="121">
        <v>0.56450231481481483</v>
      </c>
      <c r="C2391" s="26" t="s">
        <v>1673</v>
      </c>
    </row>
    <row r="2392" spans="1:3" ht="30" x14ac:dyDescent="0.25">
      <c r="A2392" s="36">
        <v>41469</v>
      </c>
      <c r="B2392" s="121">
        <v>0.56467592592592586</v>
      </c>
      <c r="C2392" s="831" t="s">
        <v>1674</v>
      </c>
    </row>
    <row r="2393" spans="1:3" ht="60" x14ac:dyDescent="0.25">
      <c r="A2393" s="36">
        <v>41469</v>
      </c>
      <c r="B2393" s="121">
        <v>0.56468750000000001</v>
      </c>
      <c r="C2393" s="831" t="s">
        <v>1522</v>
      </c>
    </row>
    <row r="2394" spans="1:3" x14ac:dyDescent="0.25">
      <c r="A2394" s="36">
        <v>41469</v>
      </c>
      <c r="B2394" s="121">
        <v>0.56513888888888886</v>
      </c>
      <c r="C2394" s="26" t="s">
        <v>1523</v>
      </c>
    </row>
    <row r="2395" spans="1:3" x14ac:dyDescent="0.25">
      <c r="A2395" s="36">
        <v>41469</v>
      </c>
      <c r="B2395" s="121">
        <v>0.56541666666666668</v>
      </c>
      <c r="C2395" s="26" t="s">
        <v>1675</v>
      </c>
    </row>
    <row r="2396" spans="1:3" x14ac:dyDescent="0.25">
      <c r="A2396" s="36">
        <v>41469</v>
      </c>
      <c r="B2396" s="121">
        <v>0.56598379629629625</v>
      </c>
      <c r="C2396" s="26" t="s">
        <v>1676</v>
      </c>
    </row>
    <row r="2397" spans="1:3" x14ac:dyDescent="0.25">
      <c r="A2397" s="36">
        <v>41469</v>
      </c>
      <c r="B2397" s="121">
        <v>0.5662962962962963</v>
      </c>
      <c r="C2397" s="26" t="s">
        <v>1523</v>
      </c>
    </row>
    <row r="2398" spans="1:3" x14ac:dyDescent="0.25">
      <c r="A2398" s="36">
        <v>41469</v>
      </c>
      <c r="B2398" s="121">
        <v>0.56730324074074068</v>
      </c>
      <c r="C2398" s="26" t="s">
        <v>1677</v>
      </c>
    </row>
    <row r="2399" spans="1:3" x14ac:dyDescent="0.25">
      <c r="A2399" s="36">
        <v>41469</v>
      </c>
      <c r="B2399" s="121">
        <v>0.56807870370370372</v>
      </c>
      <c r="C2399" s="26" t="s">
        <v>1678</v>
      </c>
    </row>
    <row r="2400" spans="1:3" x14ac:dyDescent="0.25">
      <c r="A2400" s="36">
        <v>41469</v>
      </c>
      <c r="B2400" s="121">
        <v>0.56829861111111113</v>
      </c>
      <c r="C2400" s="26" t="s">
        <v>1523</v>
      </c>
    </row>
    <row r="2401" spans="1:3" x14ac:dyDescent="0.25">
      <c r="A2401" s="36">
        <v>41469</v>
      </c>
      <c r="B2401" s="121">
        <v>0.56866898148148148</v>
      </c>
      <c r="C2401" s="26" t="s">
        <v>1679</v>
      </c>
    </row>
    <row r="2402" spans="1:3" ht="60" x14ac:dyDescent="0.25">
      <c r="A2402" s="36">
        <v>41469</v>
      </c>
      <c r="B2402" s="121">
        <v>0.56866898148148148</v>
      </c>
      <c r="C2402" s="831" t="s">
        <v>1522</v>
      </c>
    </row>
    <row r="2403" spans="1:3" x14ac:dyDescent="0.25">
      <c r="A2403" s="36">
        <v>41469</v>
      </c>
      <c r="B2403" s="121">
        <v>0.56998842592592591</v>
      </c>
      <c r="C2403" s="26" t="s">
        <v>1680</v>
      </c>
    </row>
    <row r="2404" spans="1:3" ht="60" x14ac:dyDescent="0.25">
      <c r="A2404" s="36">
        <v>41469</v>
      </c>
      <c r="B2404" s="121">
        <v>0.56998842592592591</v>
      </c>
      <c r="C2404" s="831" t="s">
        <v>1526</v>
      </c>
    </row>
    <row r="2405" spans="1:3" x14ac:dyDescent="0.25">
      <c r="A2405" s="36">
        <v>41469</v>
      </c>
      <c r="B2405" s="121">
        <v>0.57085648148148149</v>
      </c>
      <c r="C2405" s="26" t="s">
        <v>1681</v>
      </c>
    </row>
    <row r="2406" spans="1:3" ht="30" x14ac:dyDescent="0.25">
      <c r="A2406" s="36">
        <v>41469</v>
      </c>
      <c r="B2406" s="121">
        <v>0.57113425925925931</v>
      </c>
      <c r="C2406" s="831" t="s">
        <v>1682</v>
      </c>
    </row>
    <row r="2407" spans="1:3" ht="60" x14ac:dyDescent="0.25">
      <c r="A2407" s="36">
        <v>41469</v>
      </c>
      <c r="B2407" s="121">
        <v>0.57113425925925931</v>
      </c>
      <c r="C2407" s="831" t="s">
        <v>1522</v>
      </c>
    </row>
    <row r="2408" spans="1:3" x14ac:dyDescent="0.25">
      <c r="A2408" s="36">
        <v>41469</v>
      </c>
      <c r="B2408" s="121">
        <v>0.57164351851851858</v>
      </c>
      <c r="C2408" s="26" t="s">
        <v>1683</v>
      </c>
    </row>
    <row r="2409" spans="1:3" x14ac:dyDescent="0.25">
      <c r="A2409" s="36">
        <v>41469</v>
      </c>
      <c r="B2409" s="121">
        <v>0.57260416666666669</v>
      </c>
      <c r="C2409" s="26" t="s">
        <v>1684</v>
      </c>
    </row>
    <row r="2410" spans="1:3" ht="60" x14ac:dyDescent="0.25">
      <c r="A2410" s="36">
        <v>41469</v>
      </c>
      <c r="B2410" s="121">
        <v>0.57273148148148145</v>
      </c>
      <c r="C2410" s="831" t="s">
        <v>1522</v>
      </c>
    </row>
    <row r="2411" spans="1:3" x14ac:dyDescent="0.25">
      <c r="A2411" s="36">
        <v>41469</v>
      </c>
      <c r="B2411" s="121">
        <v>0.57337962962962963</v>
      </c>
      <c r="C2411" s="26" t="s">
        <v>1685</v>
      </c>
    </row>
    <row r="2412" spans="1:3" x14ac:dyDescent="0.25">
      <c r="A2412" s="36">
        <v>41469</v>
      </c>
      <c r="B2412" s="121">
        <v>0.57429398148148147</v>
      </c>
      <c r="C2412" s="26" t="s">
        <v>1628</v>
      </c>
    </row>
    <row r="2413" spans="1:3" x14ac:dyDescent="0.25">
      <c r="A2413" s="36">
        <v>41469</v>
      </c>
      <c r="B2413" s="121">
        <v>0.57446759259259261</v>
      </c>
      <c r="C2413" s="26" t="s">
        <v>1629</v>
      </c>
    </row>
    <row r="2414" spans="1:3" x14ac:dyDescent="0.25">
      <c r="A2414" s="36">
        <v>41469</v>
      </c>
      <c r="B2414" s="121">
        <v>0.57452546296296292</v>
      </c>
      <c r="C2414" s="26" t="s">
        <v>1686</v>
      </c>
    </row>
    <row r="2415" spans="1:3" ht="45" x14ac:dyDescent="0.25">
      <c r="A2415" s="36">
        <v>41469</v>
      </c>
      <c r="B2415" s="121">
        <v>0.57458333333333333</v>
      </c>
      <c r="C2415" s="831" t="s">
        <v>1687</v>
      </c>
    </row>
    <row r="2416" spans="1:3" ht="45" x14ac:dyDescent="0.25">
      <c r="A2416" s="36">
        <v>41469</v>
      </c>
      <c r="B2416" s="121">
        <v>0.57473379629629628</v>
      </c>
      <c r="C2416" s="831" t="s">
        <v>1688</v>
      </c>
    </row>
    <row r="2417" spans="1:3" x14ac:dyDescent="0.25">
      <c r="A2417" s="36">
        <v>41469</v>
      </c>
      <c r="B2417" s="121">
        <v>0.68358796296296298</v>
      </c>
      <c r="C2417" s="26" t="s">
        <v>1689</v>
      </c>
    </row>
    <row r="2418" spans="1:3" ht="60" x14ac:dyDescent="0.25">
      <c r="A2418" s="36">
        <v>41469</v>
      </c>
      <c r="B2418" s="121">
        <v>0.6837847222222222</v>
      </c>
      <c r="C2418" s="831" t="s">
        <v>1522</v>
      </c>
    </row>
    <row r="2419" spans="1:3" x14ac:dyDescent="0.25">
      <c r="A2419" s="36">
        <v>41469</v>
      </c>
      <c r="B2419" s="121">
        <v>0.70697916666666671</v>
      </c>
      <c r="C2419" s="26" t="s">
        <v>1689</v>
      </c>
    </row>
    <row r="2420" spans="1:3" x14ac:dyDescent="0.25">
      <c r="A2420" s="36">
        <v>41469</v>
      </c>
      <c r="B2420" s="121">
        <v>0.73103009259259266</v>
      </c>
      <c r="C2420" s="26" t="s">
        <v>1689</v>
      </c>
    </row>
    <row r="2421" spans="1:3" x14ac:dyDescent="0.25">
      <c r="A2421" s="36">
        <v>41469</v>
      </c>
      <c r="B2421" s="121">
        <v>0.73755787037037035</v>
      </c>
      <c r="C2421" s="26" t="s">
        <v>1689</v>
      </c>
    </row>
    <row r="2422" spans="1:3" ht="60" x14ac:dyDescent="0.25">
      <c r="A2422" s="36">
        <v>41469</v>
      </c>
      <c r="B2422" s="121">
        <v>0.73961805555555549</v>
      </c>
      <c r="C2422" s="831" t="s">
        <v>1690</v>
      </c>
    </row>
    <row r="2423" spans="1:3" x14ac:dyDescent="0.25">
      <c r="A2423" s="36">
        <v>41469</v>
      </c>
      <c r="B2423" s="121">
        <v>0.74247685185185175</v>
      </c>
      <c r="C2423" s="26" t="s">
        <v>1689</v>
      </c>
    </row>
    <row r="2424" spans="1:3" ht="45" x14ac:dyDescent="0.25">
      <c r="A2424" s="36">
        <v>41469</v>
      </c>
      <c r="B2424" s="121">
        <v>0.83747685185185183</v>
      </c>
      <c r="C2424" s="831" t="s">
        <v>1691</v>
      </c>
    </row>
    <row r="2425" spans="1:3" ht="30" x14ac:dyDescent="0.25">
      <c r="A2425" s="36">
        <v>41469</v>
      </c>
      <c r="B2425" s="121">
        <v>0.8377662037037038</v>
      </c>
      <c r="C2425" s="831" t="s">
        <v>1692</v>
      </c>
    </row>
    <row r="2426" spans="1:3" ht="30" x14ac:dyDescent="0.25">
      <c r="A2426" s="36">
        <v>41469</v>
      </c>
      <c r="B2426" s="121">
        <v>0.83795138888888887</v>
      </c>
      <c r="C2426" s="831" t="s">
        <v>1693</v>
      </c>
    </row>
    <row r="2427" spans="1:3" ht="30" x14ac:dyDescent="0.25">
      <c r="A2427" s="36">
        <v>41469</v>
      </c>
      <c r="B2427" s="121">
        <v>0.83833333333333337</v>
      </c>
      <c r="C2427" s="831" t="s">
        <v>1694</v>
      </c>
    </row>
    <row r="2428" spans="1:3" ht="45" x14ac:dyDescent="0.25">
      <c r="A2428" s="36">
        <v>41469</v>
      </c>
      <c r="B2428" s="121">
        <v>0.84032407407407417</v>
      </c>
      <c r="C2428" s="831" t="s">
        <v>1695</v>
      </c>
    </row>
    <row r="2429" spans="1:3" x14ac:dyDescent="0.25">
      <c r="A2429" s="36">
        <v>41469</v>
      </c>
      <c r="B2429" s="121">
        <v>0.84076388888888898</v>
      </c>
      <c r="C2429" s="26" t="s">
        <v>1213</v>
      </c>
    </row>
    <row r="2430" spans="1:3" x14ac:dyDescent="0.25">
      <c r="A2430" s="36">
        <v>41469</v>
      </c>
      <c r="B2430" s="121">
        <v>0.84076388888888898</v>
      </c>
      <c r="C2430" s="26" t="s">
        <v>1214</v>
      </c>
    </row>
    <row r="2431" spans="1:3" x14ac:dyDescent="0.25">
      <c r="A2431" s="36">
        <v>41469</v>
      </c>
      <c r="B2431" s="121">
        <v>0.84076388888888898</v>
      </c>
      <c r="C2431" s="26" t="s">
        <v>1214</v>
      </c>
    </row>
    <row r="2432" spans="1:3" x14ac:dyDescent="0.25">
      <c r="A2432" s="36">
        <v>41469</v>
      </c>
      <c r="B2432" s="121">
        <v>0.84076388888888898</v>
      </c>
      <c r="C2432" s="26" t="s">
        <v>1217</v>
      </c>
    </row>
    <row r="2433" spans="1:3" x14ac:dyDescent="0.25">
      <c r="A2433" s="36">
        <v>41469</v>
      </c>
      <c r="B2433" s="121">
        <v>0.84076388888888898</v>
      </c>
      <c r="C2433" s="26" t="s">
        <v>1219</v>
      </c>
    </row>
    <row r="2434" spans="1:3" x14ac:dyDescent="0.25">
      <c r="A2434" s="36">
        <v>41469</v>
      </c>
      <c r="B2434" s="121">
        <v>0.84076388888888898</v>
      </c>
      <c r="C2434" s="26" t="s">
        <v>1221</v>
      </c>
    </row>
    <row r="2435" spans="1:3" x14ac:dyDescent="0.25">
      <c r="A2435" s="36">
        <v>41469</v>
      </c>
      <c r="B2435" s="121">
        <v>0.84076388888888898</v>
      </c>
      <c r="C2435" s="26" t="s">
        <v>1214</v>
      </c>
    </row>
    <row r="2436" spans="1:3" x14ac:dyDescent="0.25">
      <c r="A2436" s="36">
        <v>41469</v>
      </c>
      <c r="B2436" s="121">
        <v>0.84076388888888898</v>
      </c>
      <c r="C2436" s="26" t="s">
        <v>1223</v>
      </c>
    </row>
    <row r="2437" spans="1:3" x14ac:dyDescent="0.25">
      <c r="A2437" s="36">
        <v>41469</v>
      </c>
      <c r="B2437" s="121">
        <v>0.84076388888888898</v>
      </c>
      <c r="C2437" s="26" t="s">
        <v>1223</v>
      </c>
    </row>
    <row r="2438" spans="1:3" x14ac:dyDescent="0.25">
      <c r="A2438" s="36">
        <v>41469</v>
      </c>
      <c r="B2438" s="121">
        <v>0.84076388888888898</v>
      </c>
      <c r="C2438" s="26" t="s">
        <v>1224</v>
      </c>
    </row>
    <row r="2439" spans="1:3" x14ac:dyDescent="0.25">
      <c r="A2439" s="36">
        <v>41469</v>
      </c>
      <c r="B2439" s="121">
        <v>0.84076388888888898</v>
      </c>
      <c r="C2439" s="26" t="s">
        <v>1219</v>
      </c>
    </row>
    <row r="2440" spans="1:3" x14ac:dyDescent="0.25">
      <c r="A2440" s="36">
        <v>41469</v>
      </c>
      <c r="B2440" s="121">
        <v>0.84076388888888898</v>
      </c>
      <c r="C2440" s="26" t="s">
        <v>1219</v>
      </c>
    </row>
    <row r="2441" spans="1:3" x14ac:dyDescent="0.25">
      <c r="A2441" s="36">
        <v>41469</v>
      </c>
      <c r="B2441" s="121">
        <v>0.84076388888888898</v>
      </c>
      <c r="C2441" s="26" t="s">
        <v>1225</v>
      </c>
    </row>
    <row r="2442" spans="1:3" x14ac:dyDescent="0.25">
      <c r="A2442" s="36">
        <v>41469</v>
      </c>
      <c r="B2442" s="121">
        <v>0.84076388888888898</v>
      </c>
      <c r="C2442" s="26" t="s">
        <v>1226</v>
      </c>
    </row>
    <row r="2443" spans="1:3" x14ac:dyDescent="0.25">
      <c r="A2443" s="36">
        <v>41469</v>
      </c>
      <c r="B2443" s="121">
        <v>0.84076388888888898</v>
      </c>
      <c r="C2443" s="26" t="s">
        <v>1227</v>
      </c>
    </row>
    <row r="2444" spans="1:3" x14ac:dyDescent="0.25">
      <c r="A2444" s="36">
        <v>41469</v>
      </c>
      <c r="B2444" s="121">
        <v>0.84076388888888898</v>
      </c>
      <c r="C2444" s="26" t="s">
        <v>1227</v>
      </c>
    </row>
    <row r="2445" spans="1:3" x14ac:dyDescent="0.25">
      <c r="A2445" s="36">
        <v>41469</v>
      </c>
      <c r="B2445" s="121">
        <v>0.84076388888888898</v>
      </c>
      <c r="C2445" s="26" t="s">
        <v>1214</v>
      </c>
    </row>
    <row r="2446" spans="1:3" x14ac:dyDescent="0.25">
      <c r="A2446" s="36">
        <v>41469</v>
      </c>
      <c r="B2446" s="121">
        <v>0.84076388888888898</v>
      </c>
      <c r="C2446" s="26" t="s">
        <v>1223</v>
      </c>
    </row>
    <row r="2447" spans="1:3" x14ac:dyDescent="0.25">
      <c r="A2447" s="36">
        <v>41469</v>
      </c>
      <c r="B2447" s="121">
        <v>0.84076388888888898</v>
      </c>
      <c r="C2447" s="26" t="s">
        <v>1226</v>
      </c>
    </row>
    <row r="2448" spans="1:3" x14ac:dyDescent="0.25">
      <c r="A2448" s="36">
        <v>41469</v>
      </c>
      <c r="B2448" s="121">
        <v>0.84076388888888898</v>
      </c>
      <c r="C2448" s="26" t="s">
        <v>1223</v>
      </c>
    </row>
    <row r="2449" spans="1:3" x14ac:dyDescent="0.25">
      <c r="A2449" s="36">
        <v>41469</v>
      </c>
      <c r="B2449" s="121">
        <v>0.84076388888888898</v>
      </c>
      <c r="C2449" s="26" t="s">
        <v>1220</v>
      </c>
    </row>
    <row r="2450" spans="1:3" x14ac:dyDescent="0.25">
      <c r="A2450" s="36">
        <v>41469</v>
      </c>
      <c r="B2450" s="121">
        <v>0.84076388888888898</v>
      </c>
      <c r="C2450" s="26" t="s">
        <v>1669</v>
      </c>
    </row>
    <row r="2451" spans="1:3" x14ac:dyDescent="0.25">
      <c r="A2451" s="36">
        <v>41469</v>
      </c>
      <c r="B2451" s="121">
        <v>0.84076388888888898</v>
      </c>
      <c r="C2451" s="26" t="s">
        <v>1223</v>
      </c>
    </row>
    <row r="2452" spans="1:3" x14ac:dyDescent="0.25">
      <c r="A2452" s="36">
        <v>41469</v>
      </c>
      <c r="B2452" s="121">
        <v>0.84077546296296291</v>
      </c>
      <c r="C2452" s="26" t="s">
        <v>1696</v>
      </c>
    </row>
    <row r="2453" spans="1:3" x14ac:dyDescent="0.25">
      <c r="A2453" s="36">
        <v>41470</v>
      </c>
      <c r="B2453" s="121">
        <v>0.34890046296296301</v>
      </c>
      <c r="C2453" s="26" t="s">
        <v>1697</v>
      </c>
    </row>
    <row r="2454" spans="1:3" ht="30" x14ac:dyDescent="0.25">
      <c r="A2454" s="36">
        <v>41470</v>
      </c>
      <c r="B2454" s="121">
        <v>0.3489814814814815</v>
      </c>
      <c r="C2454" s="831" t="s">
        <v>1698</v>
      </c>
    </row>
    <row r="2455" spans="1:3" ht="45" x14ac:dyDescent="0.25">
      <c r="A2455" s="36">
        <v>41470</v>
      </c>
      <c r="B2455" s="121">
        <v>0.34905092592592596</v>
      </c>
      <c r="C2455" s="831" t="s">
        <v>1699</v>
      </c>
    </row>
    <row r="2456" spans="1:3" x14ac:dyDescent="0.25">
      <c r="A2456" s="36">
        <v>41470</v>
      </c>
      <c r="B2456" s="121">
        <v>0.3498263888888889</v>
      </c>
      <c r="C2456" s="26" t="s">
        <v>1213</v>
      </c>
    </row>
    <row r="2457" spans="1:3" x14ac:dyDescent="0.25">
      <c r="A2457" s="36">
        <v>41470</v>
      </c>
      <c r="B2457" s="121">
        <v>0.3498263888888889</v>
      </c>
      <c r="C2457" s="26" t="s">
        <v>1214</v>
      </c>
    </row>
    <row r="2458" spans="1:3" x14ac:dyDescent="0.25">
      <c r="A2458" s="36">
        <v>41470</v>
      </c>
      <c r="B2458" s="121">
        <v>0.3498263888888889</v>
      </c>
      <c r="C2458" s="26" t="s">
        <v>1214</v>
      </c>
    </row>
    <row r="2459" spans="1:3" x14ac:dyDescent="0.25">
      <c r="A2459" s="36">
        <v>41470</v>
      </c>
      <c r="B2459" s="121">
        <v>0.3498263888888889</v>
      </c>
      <c r="C2459" s="26" t="s">
        <v>1217</v>
      </c>
    </row>
    <row r="2460" spans="1:3" x14ac:dyDescent="0.25">
      <c r="A2460" s="36">
        <v>41470</v>
      </c>
      <c r="B2460" s="121">
        <v>0.3498263888888889</v>
      </c>
      <c r="C2460" s="26" t="s">
        <v>1219</v>
      </c>
    </row>
    <row r="2461" spans="1:3" x14ac:dyDescent="0.25">
      <c r="A2461" s="36">
        <v>41470</v>
      </c>
      <c r="B2461" s="121">
        <v>0.3498263888888889</v>
      </c>
      <c r="C2461" s="26" t="s">
        <v>1221</v>
      </c>
    </row>
    <row r="2462" spans="1:3" x14ac:dyDescent="0.25">
      <c r="A2462" s="36">
        <v>41470</v>
      </c>
      <c r="B2462" s="121">
        <v>0.3498263888888889</v>
      </c>
      <c r="C2462" s="26" t="s">
        <v>1214</v>
      </c>
    </row>
    <row r="2463" spans="1:3" x14ac:dyDescent="0.25">
      <c r="A2463" s="36">
        <v>41470</v>
      </c>
      <c r="B2463" s="121">
        <v>0.3498263888888889</v>
      </c>
      <c r="C2463" s="26" t="s">
        <v>1223</v>
      </c>
    </row>
    <row r="2464" spans="1:3" x14ac:dyDescent="0.25">
      <c r="A2464" s="36">
        <v>41470</v>
      </c>
      <c r="B2464" s="121">
        <v>0.3498263888888889</v>
      </c>
      <c r="C2464" s="26" t="s">
        <v>1223</v>
      </c>
    </row>
    <row r="2465" spans="1:3" x14ac:dyDescent="0.25">
      <c r="A2465" s="36">
        <v>41470</v>
      </c>
      <c r="B2465" s="121">
        <v>0.3498263888888889</v>
      </c>
      <c r="C2465" s="26" t="s">
        <v>1224</v>
      </c>
    </row>
    <row r="2466" spans="1:3" x14ac:dyDescent="0.25">
      <c r="A2466" s="36">
        <v>41470</v>
      </c>
      <c r="B2466" s="121">
        <v>0.3498263888888889</v>
      </c>
      <c r="C2466" s="26" t="s">
        <v>1219</v>
      </c>
    </row>
    <row r="2467" spans="1:3" x14ac:dyDescent="0.25">
      <c r="A2467" s="36">
        <v>41470</v>
      </c>
      <c r="B2467" s="121">
        <v>0.3498263888888889</v>
      </c>
      <c r="C2467" s="26" t="s">
        <v>1219</v>
      </c>
    </row>
    <row r="2468" spans="1:3" x14ac:dyDescent="0.25">
      <c r="A2468" s="36">
        <v>41470</v>
      </c>
      <c r="B2468" s="121">
        <v>0.3498263888888889</v>
      </c>
      <c r="C2468" s="26" t="s">
        <v>1225</v>
      </c>
    </row>
    <row r="2469" spans="1:3" x14ac:dyDescent="0.25">
      <c r="A2469" s="36">
        <v>41470</v>
      </c>
      <c r="B2469" s="121">
        <v>0.3498263888888889</v>
      </c>
      <c r="C2469" s="26" t="s">
        <v>1226</v>
      </c>
    </row>
    <row r="2470" spans="1:3" x14ac:dyDescent="0.25">
      <c r="A2470" s="36">
        <v>41470</v>
      </c>
      <c r="B2470" s="121">
        <v>0.3498263888888889</v>
      </c>
      <c r="C2470" s="26" t="s">
        <v>1227</v>
      </c>
    </row>
    <row r="2471" spans="1:3" x14ac:dyDescent="0.25">
      <c r="A2471" s="36">
        <v>41470</v>
      </c>
      <c r="B2471" s="121">
        <v>0.3498263888888889</v>
      </c>
      <c r="C2471" s="26" t="s">
        <v>1227</v>
      </c>
    </row>
    <row r="2472" spans="1:3" x14ac:dyDescent="0.25">
      <c r="A2472" s="36">
        <v>41470</v>
      </c>
      <c r="B2472" s="121">
        <v>0.3498263888888889</v>
      </c>
      <c r="C2472" s="26" t="s">
        <v>1214</v>
      </c>
    </row>
    <row r="2473" spans="1:3" x14ac:dyDescent="0.25">
      <c r="A2473" s="36">
        <v>41470</v>
      </c>
      <c r="B2473" s="121">
        <v>0.3498263888888889</v>
      </c>
      <c r="C2473" s="26" t="s">
        <v>1223</v>
      </c>
    </row>
    <row r="2474" spans="1:3" x14ac:dyDescent="0.25">
      <c r="A2474" s="36">
        <v>41470</v>
      </c>
      <c r="B2474" s="121">
        <v>0.3498263888888889</v>
      </c>
      <c r="C2474" s="26" t="s">
        <v>1226</v>
      </c>
    </row>
    <row r="2475" spans="1:3" x14ac:dyDescent="0.25">
      <c r="A2475" s="36">
        <v>41470</v>
      </c>
      <c r="B2475" s="121">
        <v>0.3498263888888889</v>
      </c>
      <c r="C2475" s="26" t="s">
        <v>1223</v>
      </c>
    </row>
    <row r="2476" spans="1:3" x14ac:dyDescent="0.25">
      <c r="A2476" s="36">
        <v>41470</v>
      </c>
      <c r="B2476" s="121">
        <v>0.3498263888888889</v>
      </c>
      <c r="C2476" s="26" t="s">
        <v>1220</v>
      </c>
    </row>
    <row r="2477" spans="1:3" x14ac:dyDescent="0.25">
      <c r="A2477" s="36">
        <v>41470</v>
      </c>
      <c r="B2477" s="121">
        <v>0.3498263888888889</v>
      </c>
      <c r="C2477" s="26" t="s">
        <v>1669</v>
      </c>
    </row>
    <row r="2478" spans="1:3" x14ac:dyDescent="0.25">
      <c r="A2478" s="36">
        <v>41470</v>
      </c>
      <c r="B2478" s="121">
        <v>0.3498263888888889</v>
      </c>
      <c r="C2478" s="26" t="s">
        <v>1223</v>
      </c>
    </row>
    <row r="2479" spans="1:3" x14ac:dyDescent="0.25">
      <c r="A2479" s="36">
        <v>41470</v>
      </c>
      <c r="B2479" s="121">
        <v>0.3498263888888889</v>
      </c>
      <c r="C2479" s="26" t="s">
        <v>1700</v>
      </c>
    </row>
    <row r="2480" spans="1:3" x14ac:dyDescent="0.25">
      <c r="A2480" s="36">
        <v>41470</v>
      </c>
      <c r="B2480" s="121">
        <v>0.38186342592592593</v>
      </c>
      <c r="C2480" s="26" t="s">
        <v>1701</v>
      </c>
    </row>
    <row r="2481" spans="1:3" ht="30" x14ac:dyDescent="0.25">
      <c r="A2481" s="36">
        <v>41470</v>
      </c>
      <c r="B2481" s="121">
        <v>0.38194444444444442</v>
      </c>
      <c r="C2481" s="831" t="s">
        <v>1702</v>
      </c>
    </row>
    <row r="2482" spans="1:3" ht="45" x14ac:dyDescent="0.25">
      <c r="A2482" s="36">
        <v>41470</v>
      </c>
      <c r="B2482" s="121">
        <v>0.38200231481481484</v>
      </c>
      <c r="C2482" s="831" t="s">
        <v>1703</v>
      </c>
    </row>
    <row r="2483" spans="1:3" x14ac:dyDescent="0.25">
      <c r="A2483" s="36">
        <v>41470</v>
      </c>
      <c r="B2483" s="121">
        <v>0.38221064814814815</v>
      </c>
      <c r="C2483" s="26" t="s">
        <v>1213</v>
      </c>
    </row>
    <row r="2484" spans="1:3" x14ac:dyDescent="0.25">
      <c r="A2484" s="36">
        <v>41470</v>
      </c>
      <c r="B2484" s="121">
        <v>0.38221064814814815</v>
      </c>
      <c r="C2484" s="26" t="s">
        <v>1214</v>
      </c>
    </row>
    <row r="2485" spans="1:3" x14ac:dyDescent="0.25">
      <c r="A2485" s="36">
        <v>41470</v>
      </c>
      <c r="B2485" s="121">
        <v>0.38221064814814815</v>
      </c>
      <c r="C2485" s="26" t="s">
        <v>1214</v>
      </c>
    </row>
    <row r="2486" spans="1:3" x14ac:dyDescent="0.25">
      <c r="A2486" s="36">
        <v>41470</v>
      </c>
      <c r="B2486" s="121">
        <v>0.38221064814814815</v>
      </c>
      <c r="C2486" s="26" t="s">
        <v>1217</v>
      </c>
    </row>
    <row r="2487" spans="1:3" x14ac:dyDescent="0.25">
      <c r="A2487" s="36">
        <v>41470</v>
      </c>
      <c r="B2487" s="121">
        <v>0.38221064814814815</v>
      </c>
      <c r="C2487" s="26" t="s">
        <v>1219</v>
      </c>
    </row>
    <row r="2488" spans="1:3" x14ac:dyDescent="0.25">
      <c r="A2488" s="36">
        <v>41470</v>
      </c>
      <c r="B2488" s="121">
        <v>0.38221064814814815</v>
      </c>
      <c r="C2488" s="26" t="s">
        <v>1221</v>
      </c>
    </row>
    <row r="2489" spans="1:3" x14ac:dyDescent="0.25">
      <c r="A2489" s="36">
        <v>41470</v>
      </c>
      <c r="B2489" s="121">
        <v>0.38221064814814815</v>
      </c>
      <c r="C2489" s="26" t="s">
        <v>1214</v>
      </c>
    </row>
    <row r="2490" spans="1:3" x14ac:dyDescent="0.25">
      <c r="A2490" s="36">
        <v>41470</v>
      </c>
      <c r="B2490" s="121">
        <v>0.38221064814814815</v>
      </c>
      <c r="C2490" s="26" t="s">
        <v>1223</v>
      </c>
    </row>
    <row r="2491" spans="1:3" x14ac:dyDescent="0.25">
      <c r="A2491" s="36">
        <v>41470</v>
      </c>
      <c r="B2491" s="121">
        <v>0.38221064814814815</v>
      </c>
      <c r="C2491" s="26" t="s">
        <v>1223</v>
      </c>
    </row>
    <row r="2492" spans="1:3" x14ac:dyDescent="0.25">
      <c r="A2492" s="36">
        <v>41470</v>
      </c>
      <c r="B2492" s="121">
        <v>0.38221064814814815</v>
      </c>
      <c r="C2492" s="26" t="s">
        <v>1224</v>
      </c>
    </row>
    <row r="2493" spans="1:3" x14ac:dyDescent="0.25">
      <c r="A2493" s="36">
        <v>41470</v>
      </c>
      <c r="B2493" s="121">
        <v>0.38221064814814815</v>
      </c>
      <c r="C2493" s="26" t="s">
        <v>1219</v>
      </c>
    </row>
    <row r="2494" spans="1:3" x14ac:dyDescent="0.25">
      <c r="A2494" s="36">
        <v>41470</v>
      </c>
      <c r="B2494" s="121">
        <v>0.38221064814814815</v>
      </c>
      <c r="C2494" s="26" t="s">
        <v>1219</v>
      </c>
    </row>
    <row r="2495" spans="1:3" x14ac:dyDescent="0.25">
      <c r="A2495" s="36">
        <v>41470</v>
      </c>
      <c r="B2495" s="121">
        <v>0.38221064814814815</v>
      </c>
      <c r="C2495" s="26" t="s">
        <v>1225</v>
      </c>
    </row>
    <row r="2496" spans="1:3" x14ac:dyDescent="0.25">
      <c r="A2496" s="36">
        <v>41470</v>
      </c>
      <c r="B2496" s="121">
        <v>0.38221064814814815</v>
      </c>
      <c r="C2496" s="26" t="s">
        <v>1226</v>
      </c>
    </row>
    <row r="2497" spans="1:3" x14ac:dyDescent="0.25">
      <c r="A2497" s="36">
        <v>41470</v>
      </c>
      <c r="B2497" s="121">
        <v>0.38221064814814815</v>
      </c>
      <c r="C2497" s="26" t="s">
        <v>1227</v>
      </c>
    </row>
    <row r="2498" spans="1:3" x14ac:dyDescent="0.25">
      <c r="A2498" s="36">
        <v>41470</v>
      </c>
      <c r="B2498" s="121">
        <v>0.38221064814814815</v>
      </c>
      <c r="C2498" s="26" t="s">
        <v>1227</v>
      </c>
    </row>
    <row r="2499" spans="1:3" x14ac:dyDescent="0.25">
      <c r="A2499" s="36">
        <v>41470</v>
      </c>
      <c r="B2499" s="121">
        <v>0.38221064814814815</v>
      </c>
      <c r="C2499" s="26" t="s">
        <v>1214</v>
      </c>
    </row>
    <row r="2500" spans="1:3" x14ac:dyDescent="0.25">
      <c r="A2500" s="36">
        <v>41470</v>
      </c>
      <c r="B2500" s="121">
        <v>0.38221064814814815</v>
      </c>
      <c r="C2500" s="26" t="s">
        <v>1223</v>
      </c>
    </row>
    <row r="2501" spans="1:3" x14ac:dyDescent="0.25">
      <c r="A2501" s="36">
        <v>41470</v>
      </c>
      <c r="B2501" s="121">
        <v>0.38221064814814815</v>
      </c>
      <c r="C2501" s="26" t="s">
        <v>1226</v>
      </c>
    </row>
    <row r="2502" spans="1:3" x14ac:dyDescent="0.25">
      <c r="A2502" s="36">
        <v>41470</v>
      </c>
      <c r="B2502" s="121">
        <v>0.38221064814814815</v>
      </c>
      <c r="C2502" s="26" t="s">
        <v>1223</v>
      </c>
    </row>
    <row r="2503" spans="1:3" x14ac:dyDescent="0.25">
      <c r="A2503" s="36">
        <v>41470</v>
      </c>
      <c r="B2503" s="121">
        <v>0.38221064814814815</v>
      </c>
      <c r="C2503" s="26" t="s">
        <v>1220</v>
      </c>
    </row>
    <row r="2504" spans="1:3" x14ac:dyDescent="0.25">
      <c r="A2504" s="36">
        <v>41470</v>
      </c>
      <c r="B2504" s="121">
        <v>0.38221064814814815</v>
      </c>
      <c r="C2504" s="26" t="s">
        <v>1669</v>
      </c>
    </row>
    <row r="2505" spans="1:3" x14ac:dyDescent="0.25">
      <c r="A2505" s="36">
        <v>41470</v>
      </c>
      <c r="B2505" s="121">
        <v>0.38221064814814815</v>
      </c>
      <c r="C2505" s="26" t="s">
        <v>1223</v>
      </c>
    </row>
    <row r="2506" spans="1:3" x14ac:dyDescent="0.25">
      <c r="A2506" s="36">
        <v>41470</v>
      </c>
      <c r="B2506" s="121">
        <v>0.38222222222222224</v>
      </c>
      <c r="C2506" s="26" t="s">
        <v>1452</v>
      </c>
    </row>
    <row r="2507" spans="1:3" x14ac:dyDescent="0.25">
      <c r="A2507" s="36">
        <v>41470</v>
      </c>
      <c r="B2507" s="121">
        <v>0.38428240740740738</v>
      </c>
      <c r="C2507" s="26" t="s">
        <v>1704</v>
      </c>
    </row>
    <row r="2508" spans="1:3" ht="30" x14ac:dyDescent="0.25">
      <c r="A2508" s="36">
        <v>41470</v>
      </c>
      <c r="B2508" s="121">
        <v>0.38435185185185183</v>
      </c>
      <c r="C2508" s="831" t="s">
        <v>1705</v>
      </c>
    </row>
    <row r="2509" spans="1:3" ht="45" x14ac:dyDescent="0.25">
      <c r="A2509" s="36">
        <v>41470</v>
      </c>
      <c r="B2509" s="121">
        <v>0.38442129629629629</v>
      </c>
      <c r="C2509" s="831" t="s">
        <v>1706</v>
      </c>
    </row>
    <row r="2510" spans="1:3" x14ac:dyDescent="0.25">
      <c r="A2510" s="36">
        <v>41470</v>
      </c>
      <c r="B2510" s="121">
        <v>0.39128472222222221</v>
      </c>
      <c r="C2510" s="26" t="s">
        <v>1707</v>
      </c>
    </row>
    <row r="2511" spans="1:3" x14ac:dyDescent="0.25">
      <c r="A2511" s="36">
        <v>41470</v>
      </c>
      <c r="B2511" s="121">
        <v>0.39269675925925923</v>
      </c>
      <c r="C2511" s="26" t="s">
        <v>1628</v>
      </c>
    </row>
    <row r="2512" spans="1:3" x14ac:dyDescent="0.25">
      <c r="A2512" s="36">
        <v>41470</v>
      </c>
      <c r="B2512" s="121">
        <v>0.39288194444444446</v>
      </c>
      <c r="C2512" s="26" t="s">
        <v>1629</v>
      </c>
    </row>
    <row r="2513" spans="1:3" x14ac:dyDescent="0.25">
      <c r="A2513" s="36">
        <v>41470</v>
      </c>
      <c r="B2513" s="121">
        <v>0.39295138888888892</v>
      </c>
      <c r="C2513" s="26" t="s">
        <v>1686</v>
      </c>
    </row>
    <row r="2514" spans="1:3" ht="45" x14ac:dyDescent="0.25">
      <c r="A2514" s="36">
        <v>41470</v>
      </c>
      <c r="B2514" s="121">
        <v>0.39304398148148145</v>
      </c>
      <c r="C2514" s="831" t="s">
        <v>1708</v>
      </c>
    </row>
    <row r="2515" spans="1:3" ht="45" x14ac:dyDescent="0.25">
      <c r="A2515" s="36">
        <v>41470</v>
      </c>
      <c r="B2515" s="121">
        <v>0.39322916666666669</v>
      </c>
      <c r="C2515" s="831" t="s">
        <v>1709</v>
      </c>
    </row>
    <row r="2516" spans="1:3" ht="30" x14ac:dyDescent="0.25">
      <c r="A2516" s="36">
        <v>41470</v>
      </c>
      <c r="B2516" s="121">
        <v>0.39328703703703699</v>
      </c>
      <c r="C2516" s="831" t="s">
        <v>1710</v>
      </c>
    </row>
    <row r="2517" spans="1:3" ht="30" x14ac:dyDescent="0.25">
      <c r="A2517" s="36">
        <v>41470</v>
      </c>
      <c r="B2517" s="121">
        <v>0.39361111111111113</v>
      </c>
      <c r="C2517" s="831" t="s">
        <v>1711</v>
      </c>
    </row>
    <row r="2518" spans="1:3" x14ac:dyDescent="0.25">
      <c r="A2518" s="36">
        <v>41470</v>
      </c>
      <c r="B2518" s="121">
        <v>0.39932870370370371</v>
      </c>
      <c r="C2518" s="26" t="s">
        <v>1213</v>
      </c>
    </row>
    <row r="2519" spans="1:3" x14ac:dyDescent="0.25">
      <c r="A2519" s="36">
        <v>41470</v>
      </c>
      <c r="B2519" s="121">
        <v>0.39932870370370371</v>
      </c>
      <c r="C2519" s="26" t="s">
        <v>1214</v>
      </c>
    </row>
    <row r="2520" spans="1:3" x14ac:dyDescent="0.25">
      <c r="A2520" s="36">
        <v>41470</v>
      </c>
      <c r="B2520" s="121">
        <v>0.39932870370370371</v>
      </c>
      <c r="C2520" s="26" t="s">
        <v>1214</v>
      </c>
    </row>
    <row r="2521" spans="1:3" x14ac:dyDescent="0.25">
      <c r="A2521" s="36">
        <v>41470</v>
      </c>
      <c r="B2521" s="121">
        <v>0.39932870370370371</v>
      </c>
      <c r="C2521" s="26" t="s">
        <v>1217</v>
      </c>
    </row>
    <row r="2522" spans="1:3" x14ac:dyDescent="0.25">
      <c r="A2522" s="36">
        <v>41470</v>
      </c>
      <c r="B2522" s="121">
        <v>0.39932870370370371</v>
      </c>
      <c r="C2522" s="26" t="s">
        <v>1219</v>
      </c>
    </row>
    <row r="2523" spans="1:3" x14ac:dyDescent="0.25">
      <c r="A2523" s="36">
        <v>41470</v>
      </c>
      <c r="B2523" s="121">
        <v>0.39932870370370371</v>
      </c>
      <c r="C2523" s="26" t="s">
        <v>1221</v>
      </c>
    </row>
    <row r="2524" spans="1:3" x14ac:dyDescent="0.25">
      <c r="A2524" s="36">
        <v>41470</v>
      </c>
      <c r="B2524" s="121">
        <v>0.39932870370370371</v>
      </c>
      <c r="C2524" s="26" t="s">
        <v>1214</v>
      </c>
    </row>
    <row r="2525" spans="1:3" x14ac:dyDescent="0.25">
      <c r="A2525" s="36">
        <v>41470</v>
      </c>
      <c r="B2525" s="121">
        <v>0.39932870370370371</v>
      </c>
      <c r="C2525" s="26" t="s">
        <v>1223</v>
      </c>
    </row>
    <row r="2526" spans="1:3" x14ac:dyDescent="0.25">
      <c r="A2526" s="36">
        <v>41470</v>
      </c>
      <c r="B2526" s="121">
        <v>0.39932870370370371</v>
      </c>
      <c r="C2526" s="26" t="s">
        <v>1223</v>
      </c>
    </row>
    <row r="2527" spans="1:3" x14ac:dyDescent="0.25">
      <c r="A2527" s="36">
        <v>41470</v>
      </c>
      <c r="B2527" s="121">
        <v>0.39932870370370371</v>
      </c>
      <c r="C2527" s="26" t="s">
        <v>1224</v>
      </c>
    </row>
    <row r="2528" spans="1:3" x14ac:dyDescent="0.25">
      <c r="A2528" s="36">
        <v>41470</v>
      </c>
      <c r="B2528" s="121">
        <v>0.39932870370370371</v>
      </c>
      <c r="C2528" s="26" t="s">
        <v>1219</v>
      </c>
    </row>
    <row r="2529" spans="1:3" x14ac:dyDescent="0.25">
      <c r="A2529" s="36">
        <v>41470</v>
      </c>
      <c r="B2529" s="121">
        <v>0.39932870370370371</v>
      </c>
      <c r="C2529" s="26" t="s">
        <v>1219</v>
      </c>
    </row>
    <row r="2530" spans="1:3" x14ac:dyDescent="0.25">
      <c r="A2530" s="36">
        <v>41470</v>
      </c>
      <c r="B2530" s="121">
        <v>0.39932870370370371</v>
      </c>
      <c r="C2530" s="26" t="s">
        <v>1225</v>
      </c>
    </row>
    <row r="2531" spans="1:3" x14ac:dyDescent="0.25">
      <c r="A2531" s="36">
        <v>41470</v>
      </c>
      <c r="B2531" s="121">
        <v>0.39932870370370371</v>
      </c>
      <c r="C2531" s="26" t="s">
        <v>1226</v>
      </c>
    </row>
    <row r="2532" spans="1:3" x14ac:dyDescent="0.25">
      <c r="A2532" s="36">
        <v>41470</v>
      </c>
      <c r="B2532" s="121">
        <v>0.39932870370370371</v>
      </c>
      <c r="C2532" s="26" t="s">
        <v>1227</v>
      </c>
    </row>
    <row r="2533" spans="1:3" x14ac:dyDescent="0.25">
      <c r="A2533" s="36">
        <v>41470</v>
      </c>
      <c r="B2533" s="121">
        <v>0.39932870370370371</v>
      </c>
      <c r="C2533" s="26" t="s">
        <v>1227</v>
      </c>
    </row>
    <row r="2534" spans="1:3" x14ac:dyDescent="0.25">
      <c r="A2534" s="36">
        <v>41470</v>
      </c>
      <c r="B2534" s="121">
        <v>0.39932870370370371</v>
      </c>
      <c r="C2534" s="26" t="s">
        <v>1214</v>
      </c>
    </row>
    <row r="2535" spans="1:3" x14ac:dyDescent="0.25">
      <c r="A2535" s="36">
        <v>41470</v>
      </c>
      <c r="B2535" s="121">
        <v>0.39932870370370371</v>
      </c>
      <c r="C2535" s="26" t="s">
        <v>1223</v>
      </c>
    </row>
    <row r="2536" spans="1:3" x14ac:dyDescent="0.25">
      <c r="A2536" s="36">
        <v>41470</v>
      </c>
      <c r="B2536" s="121">
        <v>0.39932870370370371</v>
      </c>
      <c r="C2536" s="26" t="s">
        <v>1226</v>
      </c>
    </row>
    <row r="2537" spans="1:3" x14ac:dyDescent="0.25">
      <c r="A2537" s="36">
        <v>41470</v>
      </c>
      <c r="B2537" s="121">
        <v>0.39932870370370371</v>
      </c>
      <c r="C2537" s="26" t="s">
        <v>1223</v>
      </c>
    </row>
    <row r="2538" spans="1:3" x14ac:dyDescent="0.25">
      <c r="A2538" s="36">
        <v>41470</v>
      </c>
      <c r="B2538" s="121">
        <v>0.39932870370370371</v>
      </c>
      <c r="C2538" s="26" t="s">
        <v>1220</v>
      </c>
    </row>
    <row r="2539" spans="1:3" x14ac:dyDescent="0.25">
      <c r="A2539" s="36">
        <v>41470</v>
      </c>
      <c r="B2539" s="121">
        <v>0.39932870370370371</v>
      </c>
      <c r="C2539" s="26" t="s">
        <v>1669</v>
      </c>
    </row>
    <row r="2540" spans="1:3" x14ac:dyDescent="0.25">
      <c r="A2540" s="36">
        <v>41470</v>
      </c>
      <c r="B2540" s="121">
        <v>0.39932870370370371</v>
      </c>
      <c r="C2540" s="26" t="s">
        <v>1223</v>
      </c>
    </row>
    <row r="2541" spans="1:3" x14ac:dyDescent="0.25">
      <c r="A2541" s="36">
        <v>41470</v>
      </c>
      <c r="B2541" s="121">
        <v>0.39932870370370371</v>
      </c>
      <c r="C2541" s="26" t="s">
        <v>1228</v>
      </c>
    </row>
    <row r="2542" spans="1:3" x14ac:dyDescent="0.25">
      <c r="A2542" s="36">
        <v>41470</v>
      </c>
      <c r="B2542" s="121">
        <v>0.41291666666666665</v>
      </c>
      <c r="C2542" s="26" t="s">
        <v>1712</v>
      </c>
    </row>
    <row r="2543" spans="1:3" x14ac:dyDescent="0.25">
      <c r="A2543" s="36">
        <v>41470</v>
      </c>
      <c r="B2543" s="121">
        <v>0.41343749999999996</v>
      </c>
      <c r="C2543" s="26" t="s">
        <v>1713</v>
      </c>
    </row>
    <row r="2544" spans="1:3" ht="30" x14ac:dyDescent="0.25">
      <c r="A2544" s="36">
        <v>41470</v>
      </c>
      <c r="B2544" s="121">
        <v>0.4135300925925926</v>
      </c>
      <c r="C2544" s="831" t="s">
        <v>1714</v>
      </c>
    </row>
    <row r="2545" spans="1:3" ht="45" x14ac:dyDescent="0.25">
      <c r="A2545" s="36">
        <v>41470</v>
      </c>
      <c r="B2545" s="121">
        <v>0.4136111111111111</v>
      </c>
      <c r="C2545" s="831" t="s">
        <v>1715</v>
      </c>
    </row>
    <row r="2546" spans="1:3" x14ac:dyDescent="0.25">
      <c r="A2546" s="36">
        <v>41470</v>
      </c>
      <c r="B2546" s="121">
        <v>0.41468750000000004</v>
      </c>
      <c r="C2546" s="26" t="s">
        <v>1716</v>
      </c>
    </row>
    <row r="2547" spans="1:3" ht="30" x14ac:dyDescent="0.25">
      <c r="A2547" s="36">
        <v>41470</v>
      </c>
      <c r="B2547" s="121">
        <v>0.41496527777777775</v>
      </c>
      <c r="C2547" s="831" t="s">
        <v>1717</v>
      </c>
    </row>
    <row r="2548" spans="1:3" x14ac:dyDescent="0.25">
      <c r="A2548" s="36">
        <v>41470</v>
      </c>
      <c r="B2548" s="121">
        <v>0.41613425925925923</v>
      </c>
      <c r="C2548" s="26" t="s">
        <v>1628</v>
      </c>
    </row>
    <row r="2549" spans="1:3" x14ac:dyDescent="0.25">
      <c r="A2549" s="36">
        <v>41470</v>
      </c>
      <c r="B2549" s="121">
        <v>0.41930555555555554</v>
      </c>
      <c r="C2549" s="26" t="s">
        <v>1629</v>
      </c>
    </row>
    <row r="2550" spans="1:3" x14ac:dyDescent="0.25">
      <c r="A2550" s="36">
        <v>41470</v>
      </c>
      <c r="B2550" s="121">
        <v>0.41938657407407409</v>
      </c>
      <c r="C2550" s="26" t="s">
        <v>1686</v>
      </c>
    </row>
    <row r="2551" spans="1:3" ht="45" x14ac:dyDescent="0.25">
      <c r="A2551" s="36">
        <v>41470</v>
      </c>
      <c r="B2551" s="121">
        <v>0.41946759259259259</v>
      </c>
      <c r="C2551" s="831" t="s">
        <v>1718</v>
      </c>
    </row>
    <row r="2552" spans="1:3" x14ac:dyDescent="0.25">
      <c r="A2552" s="36">
        <v>41470</v>
      </c>
      <c r="B2552" s="121">
        <v>0.43458333333333332</v>
      </c>
      <c r="C2552" s="26" t="s">
        <v>1719</v>
      </c>
    </row>
    <row r="2553" spans="1:3" ht="30" x14ac:dyDescent="0.25">
      <c r="A2553" s="36">
        <v>41470</v>
      </c>
      <c r="B2553" s="121">
        <v>0.43489583333333331</v>
      </c>
      <c r="C2553" s="831" t="s">
        <v>1720</v>
      </c>
    </row>
    <row r="2554" spans="1:3" x14ac:dyDescent="0.25">
      <c r="A2554" s="36">
        <v>41470</v>
      </c>
      <c r="B2554" s="121">
        <v>0.4355324074074074</v>
      </c>
      <c r="C2554" s="26" t="s">
        <v>1628</v>
      </c>
    </row>
    <row r="2555" spans="1:3" x14ac:dyDescent="0.25">
      <c r="A2555" s="36">
        <v>41470</v>
      </c>
      <c r="B2555" s="121">
        <v>0.43560185185185185</v>
      </c>
      <c r="C2555" s="26" t="s">
        <v>1629</v>
      </c>
    </row>
    <row r="2556" spans="1:3" x14ac:dyDescent="0.25">
      <c r="A2556" s="36">
        <v>41470</v>
      </c>
      <c r="B2556" s="121">
        <v>0.43564814814814817</v>
      </c>
      <c r="C2556" s="26" t="s">
        <v>1686</v>
      </c>
    </row>
    <row r="2557" spans="1:3" ht="45" x14ac:dyDescent="0.25">
      <c r="A2557" s="36">
        <v>41470</v>
      </c>
      <c r="B2557" s="121">
        <v>0.43571759259259263</v>
      </c>
      <c r="C2557" s="831" t="s">
        <v>1721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63"/>
  <sheetViews>
    <sheetView topLeftCell="A109" zoomScale="80" zoomScaleNormal="80" workbookViewId="0">
      <selection activeCell="F121" sqref="F121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979</v>
      </c>
      <c r="AF5" s="717" t="s">
        <v>354</v>
      </c>
      <c r="AG5" s="737" t="s">
        <v>1027</v>
      </c>
      <c r="AH5" s="737" t="s">
        <v>1028</v>
      </c>
      <c r="AI5" s="737" t="s">
        <v>1024</v>
      </c>
      <c r="AJ5" s="737" t="s">
        <v>938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992</v>
      </c>
      <c r="AL7" s="327" t="s">
        <v>992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980</v>
      </c>
      <c r="AF9" s="727" t="s">
        <v>895</v>
      </c>
      <c r="AG9" s="738" t="s">
        <v>1030</v>
      </c>
      <c r="AH9" s="738" t="s">
        <v>1032</v>
      </c>
      <c r="AI9" s="738" t="s">
        <v>1033</v>
      </c>
      <c r="AJ9" s="738" t="s">
        <v>1034</v>
      </c>
      <c r="AK9" s="728"/>
      <c r="AL9" s="728" t="s">
        <v>1017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1013</v>
      </c>
      <c r="AL10" s="471" t="s">
        <v>1013</v>
      </c>
    </row>
    <row r="11" spans="1:38" s="314" customFormat="1" x14ac:dyDescent="0.25">
      <c r="Z11" s="329"/>
    </row>
    <row r="12" spans="1:38" s="314" customFormat="1" x14ac:dyDescent="0.25">
      <c r="A12" s="314" t="s">
        <v>1063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9" customFormat="1" ht="15.75" thickBot="1" x14ac:dyDescent="0.3">
      <c r="F14" s="770"/>
      <c r="G14" s="771"/>
      <c r="H14" s="770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2"/>
      <c r="V14" s="773" t="s">
        <v>1058</v>
      </c>
      <c r="W14" s="768"/>
      <c r="X14" s="768"/>
      <c r="Y14" s="774">
        <f>1 - COUNTIF(A$3:A12,"")/COUNTA(A$3:A12)</f>
        <v>0.75</v>
      </c>
      <c r="Z14" s="773" t="s">
        <v>1062</v>
      </c>
      <c r="AA14" s="331">
        <f>R14-SUMIF(B$1:B12,"1",R$1:R12)</f>
        <v>0</v>
      </c>
      <c r="AB14" s="775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950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53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54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54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54"/>
      <c r="B49" s="253" t="s">
        <v>772</v>
      </c>
      <c r="C49" s="412">
        <v>2</v>
      </c>
      <c r="D49" s="412"/>
    </row>
    <row r="50" spans="1:7" s="407" customFormat="1" x14ac:dyDescent="0.25">
      <c r="A50" s="854"/>
      <c r="B50" s="253" t="s">
        <v>773</v>
      </c>
      <c r="C50" s="412"/>
      <c r="D50" s="412"/>
    </row>
    <row r="51" spans="1:7" s="407" customFormat="1" ht="15.75" thickBot="1" x14ac:dyDescent="0.3">
      <c r="A51" s="855"/>
      <c r="B51" s="253" t="s">
        <v>774</v>
      </c>
      <c r="C51" s="412" t="s">
        <v>1056</v>
      </c>
      <c r="D51" s="412"/>
      <c r="G51" s="314" t="s">
        <v>1057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952</v>
      </c>
    </row>
    <row r="59" spans="1:7" s="407" customFormat="1" ht="17.25" x14ac:dyDescent="0.4">
      <c r="A59" s="853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54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54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54"/>
      <c r="B62" s="253" t="s">
        <v>772</v>
      </c>
      <c r="C62" s="327">
        <v>2</v>
      </c>
      <c r="D62" s="327"/>
      <c r="F62" s="660" t="s">
        <v>954</v>
      </c>
    </row>
    <row r="63" spans="1:7" s="314" customFormat="1" x14ac:dyDescent="0.25">
      <c r="A63" s="854"/>
      <c r="B63" s="253" t="s">
        <v>773</v>
      </c>
      <c r="C63" s="327"/>
      <c r="D63" s="327"/>
    </row>
    <row r="64" spans="1:7" s="314" customFormat="1" ht="15.75" thickBot="1" x14ac:dyDescent="0.3">
      <c r="A64" s="855"/>
      <c r="B64" s="253" t="s">
        <v>774</v>
      </c>
      <c r="C64" s="327" t="s">
        <v>951</v>
      </c>
      <c r="D64" s="327"/>
      <c r="F64" s="412" t="str">
        <f>"10/="""":"&amp;F61</f>
        <v>10/="":/="Не состоялся":/="Договор расторгнут"</v>
      </c>
      <c r="G64" s="314" t="s">
        <v>955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953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1125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80" t="s">
        <v>1066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797"/>
      <c r="C78" s="557"/>
      <c r="D78" s="812">
        <v>41367</v>
      </c>
      <c r="E78" s="811" t="s">
        <v>1126</v>
      </c>
      <c r="F78" s="793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1082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6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6" s="314" customFormat="1" x14ac:dyDescent="0.25">
      <c r="A82" s="253" t="s">
        <v>774</v>
      </c>
      <c r="B82" s="327" t="s">
        <v>1090</v>
      </c>
      <c r="C82" s="327" t="s">
        <v>1124</v>
      </c>
      <c r="D82" s="471" t="s">
        <v>1095</v>
      </c>
      <c r="E82" s="471" t="s">
        <v>1093</v>
      </c>
      <c r="F82" s="471"/>
      <c r="G82" s="327" t="s">
        <v>1092</v>
      </c>
      <c r="H82" s="799" t="s">
        <v>1094</v>
      </c>
      <c r="I82" s="327" t="s">
        <v>1096</v>
      </c>
      <c r="J82" s="327" t="s">
        <v>1097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6" s="314" customFormat="1" x14ac:dyDescent="0.25">
      <c r="N83" s="314" t="s">
        <v>857</v>
      </c>
    </row>
    <row r="84" spans="1:36" s="314" customFormat="1" ht="15.75" thickBot="1" x14ac:dyDescent="0.3">
      <c r="A84" s="314" t="s">
        <v>850</v>
      </c>
      <c r="F84" s="314">
        <v>5</v>
      </c>
      <c r="I84" s="314">
        <v>8</v>
      </c>
      <c r="P84" s="314">
        <v>10</v>
      </c>
      <c r="T84" s="314">
        <v>14</v>
      </c>
    </row>
    <row r="85" spans="1:36" s="314" customFormat="1" ht="75" x14ac:dyDescent="0.25">
      <c r="A85" s="690" t="s">
        <v>586</v>
      </c>
      <c r="B85" s="577" t="s">
        <v>881</v>
      </c>
      <c r="C85" s="539" t="s">
        <v>66</v>
      </c>
      <c r="D85" s="539" t="s">
        <v>779</v>
      </c>
      <c r="E85" s="539" t="s">
        <v>367</v>
      </c>
      <c r="F85" s="551" t="s">
        <v>1</v>
      </c>
      <c r="G85" s="551" t="s">
        <v>854</v>
      </c>
      <c r="H85" s="555" t="s">
        <v>803</v>
      </c>
      <c r="I85" s="555" t="s">
        <v>149</v>
      </c>
      <c r="J85" s="555" t="s">
        <v>62</v>
      </c>
      <c r="K85" s="555"/>
      <c r="L85" s="555"/>
      <c r="M85" s="539" t="s">
        <v>835</v>
      </c>
      <c r="N85" s="540" t="s">
        <v>188</v>
      </c>
      <c r="O85" s="539" t="s">
        <v>836</v>
      </c>
      <c r="P85" s="539" t="s">
        <v>837</v>
      </c>
      <c r="Q85" s="542" t="s">
        <v>841</v>
      </c>
      <c r="R85" s="542" t="s">
        <v>670</v>
      </c>
      <c r="S85" s="541" t="s">
        <v>671</v>
      </c>
      <c r="T85" s="542" t="s">
        <v>674</v>
      </c>
      <c r="U85" s="543" t="s">
        <v>672</v>
      </c>
      <c r="V85" s="543" t="s">
        <v>673</v>
      </c>
      <c r="W85" s="543" t="s">
        <v>838</v>
      </c>
      <c r="X85" s="543" t="s">
        <v>839</v>
      </c>
      <c r="Y85" s="543" t="s">
        <v>840</v>
      </c>
    </row>
    <row r="86" spans="1:36" s="314" customFormat="1" x14ac:dyDescent="0.25">
      <c r="A86" s="691"/>
      <c r="B86" s="254" t="s">
        <v>770</v>
      </c>
      <c r="D86" s="552"/>
      <c r="M86" s="328"/>
      <c r="N86" s="325"/>
      <c r="O86" s="496"/>
      <c r="P86" s="496"/>
      <c r="Q86" s="327" t="s">
        <v>851</v>
      </c>
      <c r="R86" s="327" t="s">
        <v>851</v>
      </c>
      <c r="S86" s="327" t="s">
        <v>851</v>
      </c>
      <c r="T86" s="327" t="s">
        <v>851</v>
      </c>
      <c r="U86" s="327" t="s">
        <v>851</v>
      </c>
      <c r="V86" s="327" t="s">
        <v>851</v>
      </c>
      <c r="W86" s="327" t="s">
        <v>851</v>
      </c>
      <c r="X86" s="327" t="s">
        <v>851</v>
      </c>
      <c r="Y86" s="327" t="s">
        <v>851</v>
      </c>
    </row>
    <row r="87" spans="1:36" s="314" customFormat="1" x14ac:dyDescent="0.25">
      <c r="A87" s="691"/>
      <c r="B87" s="253" t="s">
        <v>771</v>
      </c>
      <c r="C87" s="327">
        <v>9</v>
      </c>
      <c r="D87" s="327">
        <v>5</v>
      </c>
      <c r="E87" s="327">
        <v>22</v>
      </c>
      <c r="F87" s="327">
        <v>10</v>
      </c>
      <c r="G87" s="327">
        <v>1</v>
      </c>
      <c r="H87" s="327">
        <v>15</v>
      </c>
      <c r="I87" s="327">
        <v>10</v>
      </c>
      <c r="J87" s="327">
        <v>8</v>
      </c>
      <c r="K87" s="327">
        <v>1</v>
      </c>
      <c r="L87" s="327">
        <v>1</v>
      </c>
      <c r="M87" s="327">
        <v>12</v>
      </c>
      <c r="N87" s="327">
        <v>14</v>
      </c>
      <c r="O87" s="327">
        <v>12</v>
      </c>
      <c r="P87" s="327">
        <v>8</v>
      </c>
      <c r="Q87" s="327">
        <v>47</v>
      </c>
      <c r="R87" s="327">
        <v>44</v>
      </c>
      <c r="S87" s="327">
        <v>8</v>
      </c>
      <c r="T87" s="327">
        <v>44</v>
      </c>
      <c r="U87" s="327">
        <v>9</v>
      </c>
      <c r="V87" s="327">
        <v>25</v>
      </c>
      <c r="W87" s="327">
        <v>22</v>
      </c>
      <c r="X87" s="327">
        <v>0</v>
      </c>
      <c r="Y87" s="329">
        <v>0</v>
      </c>
    </row>
    <row r="88" spans="1:36" s="314" customFormat="1" x14ac:dyDescent="0.25">
      <c r="A88" s="691"/>
      <c r="B88" s="253" t="s">
        <v>772</v>
      </c>
      <c r="C88" s="327">
        <v>15</v>
      </c>
      <c r="D88" s="327">
        <v>19</v>
      </c>
      <c r="E88" s="327">
        <v>2</v>
      </c>
      <c r="G88" s="314">
        <v>-1</v>
      </c>
      <c r="M88" s="327"/>
      <c r="N88" s="327"/>
      <c r="O88" s="327"/>
      <c r="P88" s="327"/>
      <c r="T88" s="327"/>
      <c r="U88" s="329"/>
      <c r="V88" s="329"/>
      <c r="W88" s="329"/>
      <c r="X88" s="329"/>
      <c r="Y88" s="329"/>
    </row>
    <row r="89" spans="1:36" s="314" customFormat="1" ht="30" x14ac:dyDescent="0.25">
      <c r="A89" s="691"/>
      <c r="B89" s="253" t="s">
        <v>773</v>
      </c>
      <c r="C89" s="327" t="s">
        <v>970</v>
      </c>
      <c r="D89" s="710" t="s">
        <v>987</v>
      </c>
      <c r="E89" s="553" t="s">
        <v>852</v>
      </c>
      <c r="G89" s="327"/>
      <c r="M89" s="327"/>
      <c r="N89" s="327"/>
      <c r="O89" s="327"/>
      <c r="P89" s="327"/>
      <c r="Q89" s="327"/>
      <c r="T89" s="327"/>
      <c r="U89" s="329"/>
      <c r="V89" s="329"/>
      <c r="W89" s="329"/>
      <c r="X89" s="329"/>
      <c r="Y89" s="329"/>
      <c r="Z89" s="329"/>
      <c r="AA89" s="329"/>
      <c r="AB89" s="329"/>
      <c r="AC89" s="329"/>
      <c r="AD89" s="360"/>
      <c r="AE89" s="329"/>
      <c r="AF89" s="329"/>
      <c r="AG89" s="329"/>
      <c r="AH89" s="329"/>
      <c r="AI89" s="329"/>
      <c r="AJ89" s="329"/>
    </row>
    <row r="90" spans="1:36" s="314" customFormat="1" x14ac:dyDescent="0.25">
      <c r="A90" s="691"/>
      <c r="B90" s="253" t="s">
        <v>774</v>
      </c>
      <c r="D90" s="328"/>
      <c r="E90" s="327"/>
      <c r="F90" s="327"/>
      <c r="H90" s="327"/>
      <c r="K90" s="327"/>
      <c r="L90" s="329"/>
      <c r="M90" s="471"/>
      <c r="N90" s="471"/>
      <c r="O90" s="471"/>
      <c r="P90" s="471"/>
      <c r="Q90" s="329"/>
      <c r="R90" s="329"/>
      <c r="S90" s="329"/>
      <c r="T90" s="329"/>
      <c r="U90" s="329"/>
      <c r="V90" s="329"/>
      <c r="W90" s="329"/>
      <c r="X90" s="329"/>
      <c r="Y90" s="360"/>
      <c r="Z90" s="329"/>
      <c r="AA90" s="329"/>
      <c r="AB90" s="329"/>
      <c r="AC90" s="329"/>
      <c r="AD90" s="329"/>
      <c r="AE90" s="329"/>
    </row>
    <row r="92" spans="1:36" x14ac:dyDescent="0.25">
      <c r="D92" s="314">
        <v>5</v>
      </c>
      <c r="E92" s="314">
        <v>5</v>
      </c>
      <c r="J92" s="327"/>
      <c r="K92" s="327">
        <v>5</v>
      </c>
      <c r="L92" s="314">
        <v>5</v>
      </c>
      <c r="M92" s="328">
        <v>-1</v>
      </c>
      <c r="N92" s="327"/>
      <c r="O92" s="327"/>
      <c r="P92" s="327"/>
    </row>
    <row r="93" spans="1:36" ht="36.75" x14ac:dyDescent="0.25">
      <c r="D93" s="553" t="s">
        <v>852</v>
      </c>
      <c r="E93" s="553" t="s">
        <v>853</v>
      </c>
      <c r="F93" s="327" t="s">
        <v>970</v>
      </c>
      <c r="K93" s="554" t="s">
        <v>855</v>
      </c>
      <c r="L93" s="554" t="s">
        <v>858</v>
      </c>
      <c r="M93" s="554"/>
      <c r="N93" s="554"/>
      <c r="O93" s="554"/>
      <c r="P93" s="554"/>
    </row>
    <row r="95" spans="1:36" s="422" customFormat="1" ht="7.5" customHeight="1" x14ac:dyDescent="0.25">
      <c r="D95" s="423"/>
      <c r="E95" s="423"/>
    </row>
    <row r="96" spans="1:36" s="407" customFormat="1" ht="19.5" x14ac:dyDescent="0.3">
      <c r="A96" s="314"/>
      <c r="C96" s="408" t="s">
        <v>759</v>
      </c>
      <c r="I96" s="407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4" customFormat="1" x14ac:dyDescent="0.25">
      <c r="A100" s="471"/>
      <c r="B100" s="471"/>
      <c r="C100" s="471"/>
      <c r="D100" s="471"/>
      <c r="E100" s="471"/>
      <c r="F100" s="328"/>
      <c r="G100" s="327"/>
      <c r="H100" s="327"/>
      <c r="K100" s="327"/>
      <c r="L100" s="329"/>
      <c r="M100" s="329"/>
      <c r="N100" s="329"/>
      <c r="O100" s="329"/>
      <c r="P100" s="329"/>
      <c r="Q100" s="329"/>
      <c r="R100" s="329"/>
      <c r="S100" s="329"/>
      <c r="T100" s="329"/>
      <c r="U100" s="360"/>
      <c r="V100" s="329"/>
      <c r="W100" s="329"/>
      <c r="X100" s="329"/>
      <c r="Y100" s="329"/>
      <c r="Z100" s="329"/>
      <c r="AA100" s="329"/>
    </row>
    <row r="101" spans="1:27" s="622" customFormat="1" ht="7.5" customHeight="1" x14ac:dyDescent="0.25">
      <c r="D101" s="623"/>
      <c r="E101" s="623"/>
    </row>
    <row r="102" spans="1:27" s="314" customFormat="1" ht="19.5" x14ac:dyDescent="0.3">
      <c r="C102" s="315" t="s">
        <v>919</v>
      </c>
    </row>
    <row r="104" spans="1:27" ht="15.75" thickBot="1" x14ac:dyDescent="0.3">
      <c r="A104" s="30" t="s">
        <v>1060</v>
      </c>
    </row>
    <row r="105" spans="1:27" ht="15.75" thickBot="1" x14ac:dyDescent="0.3">
      <c r="A105" s="253" t="s">
        <v>661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117" t="s">
        <v>1147</v>
      </c>
      <c r="H105" s="3" t="s">
        <v>118</v>
      </c>
      <c r="I105" s="63" t="s">
        <v>116</v>
      </c>
      <c r="J105" s="63" t="s">
        <v>799</v>
      </c>
    </row>
    <row r="106" spans="1:27" s="1" customFormat="1" x14ac:dyDescent="0.25">
      <c r="A106" s="254" t="s">
        <v>577</v>
      </c>
      <c r="J106" s="144"/>
      <c r="K106" s="144"/>
      <c r="L106" s="8"/>
      <c r="M106" s="6"/>
      <c r="N106" s="12"/>
      <c r="O106"/>
      <c r="P106"/>
      <c r="Q106"/>
      <c r="R106"/>
      <c r="S106"/>
      <c r="T106"/>
      <c r="U106"/>
      <c r="V106"/>
      <c r="W106"/>
      <c r="X106"/>
    </row>
    <row r="107" spans="1:27" x14ac:dyDescent="0.25">
      <c r="A107" s="253" t="s">
        <v>662</v>
      </c>
      <c r="B107" s="144" t="s">
        <v>988</v>
      </c>
      <c r="C107" s="144" t="s">
        <v>1059</v>
      </c>
      <c r="D107" s="144" t="s">
        <v>988</v>
      </c>
      <c r="E107" s="144" t="s">
        <v>113</v>
      </c>
      <c r="F107" s="144" t="s">
        <v>992</v>
      </c>
      <c r="G107" s="144" t="s">
        <v>988</v>
      </c>
      <c r="H107" s="144" t="s">
        <v>988</v>
      </c>
      <c r="I107" s="144" t="s">
        <v>991</v>
      </c>
      <c r="J107" s="144" t="s">
        <v>991</v>
      </c>
      <c r="K107" s="144"/>
      <c r="L107" s="144"/>
      <c r="M107" s="144"/>
      <c r="N107" s="144"/>
    </row>
    <row r="108" spans="1:27" x14ac:dyDescent="0.25">
      <c r="A108" s="253" t="s">
        <v>663</v>
      </c>
      <c r="B108" s="144" t="s">
        <v>126</v>
      </c>
      <c r="C108" s="144" t="s">
        <v>112</v>
      </c>
      <c r="D108" s="144" t="s">
        <v>128</v>
      </c>
      <c r="E108" s="144" t="s">
        <v>111</v>
      </c>
      <c r="F108" s="144" t="s">
        <v>795</v>
      </c>
      <c r="G108" s="144" t="s">
        <v>874</v>
      </c>
      <c r="H108" s="459" t="s">
        <v>115</v>
      </c>
      <c r="I108" s="570" t="s">
        <v>870</v>
      </c>
      <c r="J108" s="144" t="s">
        <v>91</v>
      </c>
      <c r="K108" s="144"/>
      <c r="L108" s="144"/>
      <c r="M108" s="144"/>
      <c r="N108" s="144"/>
    </row>
    <row r="109" spans="1:27" x14ac:dyDescent="0.25">
      <c r="A109" s="253" t="s">
        <v>664</v>
      </c>
      <c r="E109" t="s">
        <v>783</v>
      </c>
      <c r="H109" t="s">
        <v>903</v>
      </c>
      <c r="I109" s="57"/>
      <c r="J109" s="91"/>
      <c r="N109" s="91"/>
      <c r="O109" s="91"/>
      <c r="P109" s="452"/>
      <c r="Q109" s="91"/>
    </row>
    <row r="110" spans="1:27" x14ac:dyDescent="0.25">
      <c r="A110" s="253" t="s">
        <v>782</v>
      </c>
      <c r="E110" s="251"/>
      <c r="H110" s="251" t="s">
        <v>796</v>
      </c>
      <c r="I110" s="569" t="s">
        <v>869</v>
      </c>
      <c r="J110" s="327"/>
      <c r="O110" s="252"/>
      <c r="S110" s="453"/>
      <c r="T110" s="453"/>
      <c r="U110" s="453"/>
      <c r="V110" s="453"/>
      <c r="W110" s="453"/>
    </row>
    <row r="112" spans="1:27" ht="15.75" thickBot="1" x14ac:dyDescent="0.3">
      <c r="A112" s="30" t="s">
        <v>1061</v>
      </c>
    </row>
    <row r="113" spans="1:24" ht="15.75" thickBot="1" x14ac:dyDescent="0.3">
      <c r="A113" s="253" t="s">
        <v>661</v>
      </c>
      <c r="B113" s="117" t="s">
        <v>119</v>
      </c>
      <c r="C113" s="117" t="s">
        <v>120</v>
      </c>
      <c r="D113" s="117" t="s">
        <v>121</v>
      </c>
      <c r="E113" s="117" t="s">
        <v>122</v>
      </c>
      <c r="F113" s="117" t="s">
        <v>123</v>
      </c>
      <c r="G113" s="117" t="s">
        <v>1147</v>
      </c>
      <c r="H113" s="116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988</v>
      </c>
      <c r="C115" s="144" t="s">
        <v>1059</v>
      </c>
      <c r="D115" s="144" t="s">
        <v>988</v>
      </c>
      <c r="E115" s="144" t="s">
        <v>113</v>
      </c>
      <c r="F115" s="144" t="s">
        <v>992</v>
      </c>
      <c r="G115" s="144" t="s">
        <v>988</v>
      </c>
      <c r="H115" s="144" t="s">
        <v>988</v>
      </c>
      <c r="I115" s="144" t="s">
        <v>991</v>
      </c>
      <c r="J115" s="144" t="s">
        <v>991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765" t="s">
        <v>823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B117" t="s">
        <v>1054</v>
      </c>
      <c r="E117" t="s">
        <v>783</v>
      </c>
      <c r="H117" t="s">
        <v>903</v>
      </c>
      <c r="I117" s="766" t="s">
        <v>1055</v>
      </c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767"/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996</v>
      </c>
    </row>
    <row r="121" spans="1:24" s="255" customFormat="1" ht="15.75" thickBot="1" x14ac:dyDescent="0.3">
      <c r="A121" s="253" t="s">
        <v>661</v>
      </c>
      <c r="B121" s="256" t="s">
        <v>151</v>
      </c>
      <c r="C121" s="256" t="s">
        <v>120</v>
      </c>
      <c r="D121" s="258" t="s">
        <v>152</v>
      </c>
      <c r="E121" s="257" t="s">
        <v>153</v>
      </c>
      <c r="F121" s="258" t="s">
        <v>154</v>
      </c>
      <c r="G121" s="259" t="s">
        <v>155</v>
      </c>
      <c r="H121" s="258" t="s">
        <v>156</v>
      </c>
      <c r="I121" s="259" t="s">
        <v>157</v>
      </c>
      <c r="J121" s="257" t="s">
        <v>158</v>
      </c>
      <c r="K121" s="259" t="s">
        <v>159</v>
      </c>
      <c r="L121" s="258" t="s">
        <v>160</v>
      </c>
      <c r="M121" s="260" t="s">
        <v>122</v>
      </c>
      <c r="N121" s="840" t="s">
        <v>161</v>
      </c>
      <c r="O121" s="261" t="s">
        <v>162</v>
      </c>
      <c r="P121" s="261" t="s">
        <v>163</v>
      </c>
      <c r="Q121" s="261" t="s">
        <v>164</v>
      </c>
      <c r="R121" s="476" t="s">
        <v>165</v>
      </c>
      <c r="S121" s="476" t="s">
        <v>166</v>
      </c>
      <c r="T121" s="476" t="s">
        <v>167</v>
      </c>
      <c r="U121" s="476" t="s">
        <v>168</v>
      </c>
      <c r="V121" s="476" t="s">
        <v>169</v>
      </c>
    </row>
    <row r="122" spans="1:24" s="1" customFormat="1" x14ac:dyDescent="0.25">
      <c r="A122" s="254" t="s">
        <v>577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1" t="s">
        <v>17</v>
      </c>
      <c r="P122" s="14"/>
      <c r="Q122" s="15"/>
      <c r="R122" s="16"/>
      <c r="S122" s="16"/>
      <c r="T122" s="16"/>
      <c r="U122" s="16"/>
      <c r="V122" s="16"/>
      <c r="W122" s="450"/>
    </row>
    <row r="123" spans="1:24" x14ac:dyDescent="0.25">
      <c r="A123" s="253" t="s">
        <v>662</v>
      </c>
      <c r="B123" s="144" t="s">
        <v>988</v>
      </c>
      <c r="C123" s="144" t="s">
        <v>988</v>
      </c>
      <c r="D123" s="144" t="s">
        <v>989</v>
      </c>
      <c r="E123" s="144" t="s">
        <v>990</v>
      </c>
      <c r="F123" s="144" t="s">
        <v>989</v>
      </c>
      <c r="G123" s="144" t="s">
        <v>990</v>
      </c>
      <c r="H123" s="144" t="s">
        <v>988</v>
      </c>
      <c r="I123" s="144" t="s">
        <v>990</v>
      </c>
      <c r="J123" s="144" t="s">
        <v>989</v>
      </c>
      <c r="K123" s="144" t="s">
        <v>988</v>
      </c>
      <c r="L123" s="144" t="s">
        <v>94</v>
      </c>
      <c r="M123" s="144" t="s">
        <v>132</v>
      </c>
      <c r="N123" s="144" t="s">
        <v>112</v>
      </c>
      <c r="O123" s="144" t="s">
        <v>91</v>
      </c>
      <c r="P123" s="144" t="s">
        <v>92</v>
      </c>
      <c r="Q123" s="144" t="s">
        <v>91</v>
      </c>
      <c r="R123" s="144" t="s">
        <v>113</v>
      </c>
      <c r="S123" s="144" t="s">
        <v>113</v>
      </c>
      <c r="T123" s="144" t="s">
        <v>989</v>
      </c>
      <c r="U123" s="144" t="s">
        <v>92</v>
      </c>
      <c r="V123" s="144" t="s">
        <v>92</v>
      </c>
    </row>
    <row r="124" spans="1:24" x14ac:dyDescent="0.25">
      <c r="A124" s="253" t="s">
        <v>663</v>
      </c>
      <c r="B124" s="144">
        <v>10</v>
      </c>
      <c r="C124" s="144">
        <v>12</v>
      </c>
      <c r="D124" s="144" t="s">
        <v>131</v>
      </c>
      <c r="E124" s="144" t="s">
        <v>131</v>
      </c>
      <c r="F124" s="144" t="s">
        <v>130</v>
      </c>
      <c r="G124" s="144" t="s">
        <v>130</v>
      </c>
      <c r="H124" s="144" t="s">
        <v>110</v>
      </c>
      <c r="I124" s="144" t="s">
        <v>70</v>
      </c>
      <c r="J124" s="144" t="s">
        <v>127</v>
      </c>
      <c r="K124" s="144">
        <v>18</v>
      </c>
      <c r="L124" s="144" t="s">
        <v>133</v>
      </c>
      <c r="M124" s="144" t="s">
        <v>242</v>
      </c>
      <c r="N124" s="144" t="s">
        <v>660</v>
      </c>
      <c r="O124" s="144" t="s">
        <v>660</v>
      </c>
      <c r="P124" s="144" t="s">
        <v>660</v>
      </c>
      <c r="Q124" s="144">
        <v>12</v>
      </c>
      <c r="R124" s="144" t="s">
        <v>70</v>
      </c>
      <c r="S124" s="144" t="s">
        <v>70</v>
      </c>
      <c r="T124" s="144" t="s">
        <v>70</v>
      </c>
      <c r="U124" s="144" t="s">
        <v>70</v>
      </c>
      <c r="V124" s="144" t="s">
        <v>70</v>
      </c>
    </row>
    <row r="125" spans="1:24" x14ac:dyDescent="0.25">
      <c r="A125" s="253" t="s">
        <v>664</v>
      </c>
      <c r="E125" s="251" t="s">
        <v>780</v>
      </c>
      <c r="G125" s="251" t="s">
        <v>781</v>
      </c>
      <c r="I125" s="91"/>
      <c r="K125" s="251" t="s">
        <v>159</v>
      </c>
      <c r="M125" s="91" t="s">
        <v>783</v>
      </c>
      <c r="N125" s="91"/>
      <c r="O125" s="452" t="s">
        <v>784</v>
      </c>
      <c r="P125" s="91" t="s">
        <v>789</v>
      </c>
    </row>
    <row r="126" spans="1:24" x14ac:dyDescent="0.25">
      <c r="A126" s="253" t="s">
        <v>782</v>
      </c>
      <c r="E126" s="251"/>
      <c r="G126" s="251"/>
      <c r="I126" s="327"/>
      <c r="K126" s="453" t="s">
        <v>796</v>
      </c>
      <c r="N126" s="252"/>
      <c r="R126" s="453" t="s">
        <v>787</v>
      </c>
      <c r="S126" s="453" t="s">
        <v>788</v>
      </c>
      <c r="T126" s="453" t="s">
        <v>995</v>
      </c>
      <c r="U126" s="453" t="s">
        <v>785</v>
      </c>
      <c r="V126" s="453" t="s">
        <v>786</v>
      </c>
    </row>
    <row r="128" spans="1:24" ht="15.75" thickBot="1" x14ac:dyDescent="0.3">
      <c r="A128" s="30" t="s">
        <v>924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0" t="s">
        <v>913</v>
      </c>
      <c r="B129" s="253" t="s">
        <v>661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7" t="s">
        <v>210</v>
      </c>
      <c r="Q129" s="117" t="s">
        <v>211</v>
      </c>
      <c r="R129" s="117" t="s">
        <v>348</v>
      </c>
      <c r="S129" s="117" t="s">
        <v>347</v>
      </c>
      <c r="T129" s="117" t="s">
        <v>255</v>
      </c>
      <c r="U129" s="117" t="s">
        <v>262</v>
      </c>
    </row>
    <row r="130" spans="1:25" s="1" customFormat="1" x14ac:dyDescent="0.25">
      <c r="A130" s="691"/>
      <c r="B130" s="254" t="s">
        <v>577</v>
      </c>
      <c r="C130" s="495" t="s">
        <v>925</v>
      </c>
      <c r="D130" s="7" t="s">
        <v>927</v>
      </c>
      <c r="E130" s="593" t="s">
        <v>928</v>
      </c>
      <c r="F130" s="9"/>
      <c r="G130" s="643">
        <v>2298687.7200000002</v>
      </c>
      <c r="H130" s="10"/>
      <c r="I130" s="651" t="s">
        <v>141</v>
      </c>
      <c r="J130" s="712" t="s">
        <v>945</v>
      </c>
      <c r="K130" s="651"/>
      <c r="L130" s="651"/>
      <c r="M130" s="652"/>
      <c r="N130" s="653"/>
      <c r="O130"/>
      <c r="P130" s="8" t="s">
        <v>141</v>
      </c>
      <c r="Q130" s="644"/>
      <c r="R130" s="8" t="s">
        <v>930</v>
      </c>
      <c r="S130" s="8" t="s">
        <v>141</v>
      </c>
      <c r="T130" s="6" t="s">
        <v>9</v>
      </c>
      <c r="U130" s="12" t="s">
        <v>933</v>
      </c>
      <c r="V130"/>
      <c r="W130"/>
      <c r="X130"/>
      <c r="Y130"/>
    </row>
    <row r="131" spans="1:25" x14ac:dyDescent="0.25">
      <c r="A131" s="691"/>
      <c r="B131" s="253" t="s">
        <v>662</v>
      </c>
      <c r="C131" s="144" t="s">
        <v>110</v>
      </c>
      <c r="D131" s="144" t="s">
        <v>926</v>
      </c>
      <c r="E131" s="144" t="s">
        <v>132</v>
      </c>
      <c r="F131" s="144" t="s">
        <v>110</v>
      </c>
      <c r="G131" s="144" t="s">
        <v>110</v>
      </c>
      <c r="H131" s="144" t="s">
        <v>91</v>
      </c>
      <c r="I131" s="587"/>
      <c r="J131" s="268"/>
      <c r="K131" s="144"/>
      <c r="L131" s="144"/>
      <c r="M131" s="144"/>
      <c r="N131" s="144"/>
      <c r="P131" s="144">
        <v>10</v>
      </c>
      <c r="Q131" s="144" t="s">
        <v>113</v>
      </c>
      <c r="R131" s="144" t="s">
        <v>112</v>
      </c>
      <c r="S131" s="144" t="s">
        <v>132</v>
      </c>
      <c r="T131" s="144" t="s">
        <v>113</v>
      </c>
      <c r="U131" s="144" t="s">
        <v>113</v>
      </c>
    </row>
    <row r="132" spans="1:25" x14ac:dyDescent="0.25">
      <c r="A132" s="691"/>
      <c r="B132" s="253" t="s">
        <v>663</v>
      </c>
      <c r="C132" s="144" t="s">
        <v>91</v>
      </c>
      <c r="D132" s="144" t="s">
        <v>91</v>
      </c>
      <c r="E132" s="144" t="s">
        <v>130</v>
      </c>
      <c r="F132" s="144" t="s">
        <v>242</v>
      </c>
      <c r="G132" s="144" t="s">
        <v>874</v>
      </c>
      <c r="H132" s="144" t="s">
        <v>660</v>
      </c>
      <c r="I132" s="587" t="s">
        <v>133</v>
      </c>
      <c r="J132" s="268"/>
      <c r="K132" s="144"/>
      <c r="L132" s="144"/>
      <c r="M132" s="144"/>
      <c r="N132" s="144"/>
      <c r="P132" s="144" t="s">
        <v>113</v>
      </c>
      <c r="Q132" s="144" t="s">
        <v>113</v>
      </c>
      <c r="R132" s="144"/>
      <c r="S132" s="144" t="s">
        <v>113</v>
      </c>
      <c r="T132" s="144" t="s">
        <v>795</v>
      </c>
      <c r="U132" s="144" t="s">
        <v>41</v>
      </c>
    </row>
    <row r="133" spans="1:25" x14ac:dyDescent="0.25">
      <c r="A133" s="691"/>
      <c r="B133" s="253" t="s">
        <v>664</v>
      </c>
      <c r="D133" s="251" t="s">
        <v>1014</v>
      </c>
      <c r="F133" s="251" t="s">
        <v>936</v>
      </c>
      <c r="G133" s="711" t="s">
        <v>998</v>
      </c>
      <c r="H133" s="251" t="s">
        <v>784</v>
      </c>
      <c r="I133" s="645" t="s">
        <v>999</v>
      </c>
      <c r="K133" s="588"/>
      <c r="L133" s="645"/>
      <c r="M133" s="645"/>
      <c r="N133" s="646"/>
      <c r="P133" s="251" t="s">
        <v>939</v>
      </c>
      <c r="Q133" s="645" t="s">
        <v>929</v>
      </c>
      <c r="R133" s="588"/>
      <c r="S133" s="645" t="s">
        <v>931</v>
      </c>
      <c r="T133" s="645" t="s">
        <v>932</v>
      </c>
      <c r="U133" s="646"/>
    </row>
    <row r="134" spans="1:25" x14ac:dyDescent="0.25">
      <c r="A134" s="691"/>
      <c r="B134" s="253" t="s">
        <v>782</v>
      </c>
      <c r="C134" t="s">
        <v>1011</v>
      </c>
      <c r="D134" t="s">
        <v>935</v>
      </c>
      <c r="F134" s="251"/>
      <c r="H134" s="251"/>
      <c r="J134" s="564"/>
      <c r="L134" s="453"/>
      <c r="Q134" s="327"/>
      <c r="S134" s="453"/>
      <c r="U134" t="s">
        <v>934</v>
      </c>
    </row>
    <row r="136" spans="1:25" ht="15.75" thickBot="1" x14ac:dyDescent="0.3">
      <c r="A136" s="30" t="s">
        <v>1019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0" t="s">
        <v>550</v>
      </c>
      <c r="B137" s="253" t="s">
        <v>661</v>
      </c>
      <c r="C137" s="117" t="s">
        <v>205</v>
      </c>
      <c r="D137" s="117" t="s">
        <v>206</v>
      </c>
      <c r="E137" s="117" t="s">
        <v>207</v>
      </c>
      <c r="F137" s="117" t="s">
        <v>208</v>
      </c>
      <c r="G137" s="117" t="s">
        <v>122</v>
      </c>
      <c r="H137" s="117" t="s">
        <v>209</v>
      </c>
      <c r="I137" s="117" t="s">
        <v>210</v>
      </c>
      <c r="J137" s="117" t="s">
        <v>211</v>
      </c>
      <c r="K137" s="117" t="s">
        <v>348</v>
      </c>
      <c r="L137" s="117" t="s">
        <v>347</v>
      </c>
      <c r="M137" s="117" t="s">
        <v>255</v>
      </c>
      <c r="N137" s="117" t="s">
        <v>262</v>
      </c>
      <c r="Q137" s="739" t="s">
        <v>351</v>
      </c>
    </row>
    <row r="138" spans="1:25" s="1" customFormat="1" x14ac:dyDescent="0.25">
      <c r="A138" s="691"/>
      <c r="B138" s="254" t="s">
        <v>577</v>
      </c>
      <c r="C138" s="495" t="s">
        <v>925</v>
      </c>
      <c r="D138" s="7" t="s">
        <v>927</v>
      </c>
      <c r="E138" s="593" t="s">
        <v>928</v>
      </c>
      <c r="F138" s="9"/>
      <c r="G138" s="643">
        <v>2298687.7200000002</v>
      </c>
      <c r="H138" s="10"/>
      <c r="I138" s="733" t="s">
        <v>106</v>
      </c>
      <c r="J138" s="712" t="s">
        <v>945</v>
      </c>
      <c r="K138" s="744" t="s">
        <v>1041</v>
      </c>
      <c r="L138" s="744" t="s">
        <v>137</v>
      </c>
      <c r="M138" s="742" t="s">
        <v>7</v>
      </c>
      <c r="N138" s="653"/>
      <c r="O138"/>
      <c r="P138"/>
      <c r="Q138" s="739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926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144" t="s">
        <v>823</v>
      </c>
      <c r="J139" s="268"/>
      <c r="K139" s="144"/>
      <c r="L139" s="144"/>
      <c r="M139" s="144" t="s">
        <v>128</v>
      </c>
      <c r="N139" s="144"/>
      <c r="Q139" s="739" t="s">
        <v>938</v>
      </c>
    </row>
    <row r="140" spans="1:25" x14ac:dyDescent="0.25">
      <c r="A140" s="691"/>
      <c r="B140" s="253" t="s">
        <v>663</v>
      </c>
      <c r="C140" s="144" t="s">
        <v>70</v>
      </c>
      <c r="D140" s="144" t="s">
        <v>1042</v>
      </c>
      <c r="E140" s="268" t="s">
        <v>112</v>
      </c>
      <c r="F140" s="268" t="s">
        <v>874</v>
      </c>
      <c r="G140" s="144" t="s">
        <v>878</v>
      </c>
      <c r="H140" s="144" t="s">
        <v>879</v>
      </c>
      <c r="I140" s="144" t="s">
        <v>1022</v>
      </c>
      <c r="J140" s="268" t="s">
        <v>70</v>
      </c>
      <c r="K140" s="144" t="s">
        <v>1022</v>
      </c>
      <c r="L140" s="144" t="s">
        <v>1022</v>
      </c>
      <c r="M140" s="144" t="s">
        <v>874</v>
      </c>
      <c r="N140" s="144"/>
      <c r="Q140" s="739" t="s">
        <v>203</v>
      </c>
    </row>
    <row r="141" spans="1:25" ht="60" x14ac:dyDescent="0.25">
      <c r="A141" s="691"/>
      <c r="B141" s="253" t="s">
        <v>664</v>
      </c>
      <c r="C141" s="268" t="s">
        <v>1016</v>
      </c>
      <c r="D141" s="268" t="s">
        <v>1018</v>
      </c>
      <c r="E141" s="251"/>
      <c r="F141" s="732" t="s">
        <v>936</v>
      </c>
      <c r="G141" s="268" t="s">
        <v>1016</v>
      </c>
      <c r="H141" s="268" t="s">
        <v>784</v>
      </c>
      <c r="I141" s="740" t="s">
        <v>1036</v>
      </c>
      <c r="J141" s="746" t="s">
        <v>1043</v>
      </c>
      <c r="K141" s="741" t="s">
        <v>1040</v>
      </c>
      <c r="L141" s="740"/>
      <c r="M141" s="743" t="s">
        <v>1039</v>
      </c>
      <c r="N141" s="646"/>
      <c r="Q141" s="739" t="s">
        <v>941</v>
      </c>
    </row>
    <row r="142" spans="1:25" x14ac:dyDescent="0.25">
      <c r="A142" s="691"/>
      <c r="B142" s="253" t="s">
        <v>782</v>
      </c>
      <c r="E142" s="91"/>
      <c r="F142" s="251"/>
      <c r="H142" s="251"/>
      <c r="I142" s="251"/>
      <c r="J142" s="564"/>
      <c r="L142" s="453"/>
      <c r="M142" s="585"/>
    </row>
    <row r="143" spans="1:25" x14ac:dyDescent="0.25">
      <c r="I143" s="2"/>
    </row>
    <row r="144" spans="1:25" ht="15.75" thickBot="1" x14ac:dyDescent="0.3">
      <c r="A144" s="655" t="s">
        <v>947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0" t="s">
        <v>961</v>
      </c>
      <c r="B150" s="681"/>
      <c r="C150" s="681"/>
      <c r="D150" s="681"/>
      <c r="E150" s="681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7" t="s">
        <v>341</v>
      </c>
      <c r="O151" s="117" t="s">
        <v>342</v>
      </c>
      <c r="P151" s="117" t="s">
        <v>343</v>
      </c>
      <c r="Q151" s="117" t="s">
        <v>543</v>
      </c>
      <c r="R151" s="117" t="s">
        <v>542</v>
      </c>
      <c r="S151" s="117" t="s">
        <v>544</v>
      </c>
      <c r="T151" s="117" t="s">
        <v>545</v>
      </c>
      <c r="U151" s="117" t="s">
        <v>546</v>
      </c>
      <c r="V151" s="119" t="s">
        <v>540</v>
      </c>
    </row>
    <row r="153" spans="1:22" ht="15.75" thickBot="1" x14ac:dyDescent="0.3">
      <c r="A153" s="30" t="s">
        <v>549</v>
      </c>
    </row>
    <row r="154" spans="1:22" ht="15.75" thickBot="1" x14ac:dyDescent="0.3">
      <c r="A154" s="117" t="s">
        <v>136</v>
      </c>
      <c r="B154" s="117" t="s">
        <v>367</v>
      </c>
      <c r="C154" s="117" t="s">
        <v>344</v>
      </c>
      <c r="D154" s="117" t="s">
        <v>341</v>
      </c>
      <c r="E154" s="117" t="s">
        <v>165</v>
      </c>
      <c r="F154" s="117" t="s">
        <v>166</v>
      </c>
      <c r="G154" s="117" t="s">
        <v>167</v>
      </c>
      <c r="H154" s="117" t="s">
        <v>168</v>
      </c>
      <c r="I154" s="117" t="s">
        <v>169</v>
      </c>
      <c r="J154" s="117" t="s">
        <v>543</v>
      </c>
      <c r="K154" s="117" t="s">
        <v>542</v>
      </c>
      <c r="L154" s="117" t="s">
        <v>544</v>
      </c>
      <c r="M154" s="117" t="s">
        <v>545</v>
      </c>
      <c r="N154" s="117" t="s">
        <v>546</v>
      </c>
    </row>
    <row r="156" spans="1:22" ht="15.75" thickBot="1" x14ac:dyDescent="0.3">
      <c r="A156" s="30" t="s">
        <v>547</v>
      </c>
    </row>
    <row r="157" spans="1:22" ht="15.75" thickBot="1" x14ac:dyDescent="0.3">
      <c r="A157" s="4" t="s">
        <v>345</v>
      </c>
      <c r="B157" s="4" t="s">
        <v>367</v>
      </c>
      <c r="C157" s="117" t="s">
        <v>548</v>
      </c>
    </row>
    <row r="158" spans="1:22" x14ac:dyDescent="0.25">
      <c r="A158" s="118" t="s">
        <v>110</v>
      </c>
      <c r="B158" s="118" t="s">
        <v>134</v>
      </c>
      <c r="C158" s="118" t="s">
        <v>111</v>
      </c>
    </row>
    <row r="159" spans="1:22" ht="15.75" thickBot="1" x14ac:dyDescent="0.3">
      <c r="A159" s="26"/>
      <c r="B159" s="26"/>
    </row>
    <row r="160" spans="1:22" ht="15.75" thickBot="1" x14ac:dyDescent="0.3">
      <c r="A160" s="64" t="s">
        <v>1127</v>
      </c>
      <c r="B160" s="26"/>
      <c r="I160" s="815" t="s">
        <v>677</v>
      </c>
      <c r="N160" s="817" t="s">
        <v>679</v>
      </c>
    </row>
    <row r="161" spans="1:38" s="314" customFormat="1" ht="25.5" x14ac:dyDescent="0.25">
      <c r="A161" s="253" t="s">
        <v>769</v>
      </c>
      <c r="B161" s="819" t="s">
        <v>1116</v>
      </c>
      <c r="C161" s="539" t="s">
        <v>1099</v>
      </c>
      <c r="D161" s="804" t="s">
        <v>1129</v>
      </c>
      <c r="E161" s="804" t="s">
        <v>1103</v>
      </c>
      <c r="F161" s="803" t="s">
        <v>1104</v>
      </c>
      <c r="G161" s="803" t="s">
        <v>1105</v>
      </c>
      <c r="H161" s="803" t="s">
        <v>1106</v>
      </c>
      <c r="I161" s="814" t="s">
        <v>1107</v>
      </c>
      <c r="J161" s="805" t="s">
        <v>1108</v>
      </c>
      <c r="K161" s="806" t="s">
        <v>1109</v>
      </c>
      <c r="L161" s="816" t="s">
        <v>1132</v>
      </c>
      <c r="M161" s="816" t="s">
        <v>1131</v>
      </c>
      <c r="N161" s="816" t="s">
        <v>1130</v>
      </c>
    </row>
    <row r="162" spans="1:38" s="314" customFormat="1" x14ac:dyDescent="0.25">
      <c r="A162" s="254" t="s">
        <v>770</v>
      </c>
      <c r="B162" s="797"/>
      <c r="C162" s="557"/>
    </row>
    <row r="163" spans="1:38" s="314" customFormat="1" x14ac:dyDescent="0.25">
      <c r="A163" s="253" t="s">
        <v>771</v>
      </c>
      <c r="B163" s="327">
        <v>1</v>
      </c>
      <c r="C163" s="327">
        <v>5</v>
      </c>
      <c r="D163" s="802">
        <v>45</v>
      </c>
      <c r="E163" s="802">
        <v>5</v>
      </c>
      <c r="F163" s="802">
        <v>7</v>
      </c>
      <c r="G163" s="802">
        <v>16</v>
      </c>
      <c r="H163" s="802">
        <v>10</v>
      </c>
      <c r="I163" s="802" t="s">
        <v>1145</v>
      </c>
      <c r="J163" s="802" t="s">
        <v>1119</v>
      </c>
      <c r="K163" s="802">
        <v>10</v>
      </c>
      <c r="L163" s="802" t="s">
        <v>1133</v>
      </c>
      <c r="M163" s="802" t="s">
        <v>988</v>
      </c>
      <c r="N163" s="802" t="s">
        <v>988</v>
      </c>
    </row>
    <row r="164" spans="1:38" s="314" customFormat="1" x14ac:dyDescent="0.25">
      <c r="A164" s="253" t="s">
        <v>772</v>
      </c>
      <c r="B164" s="813" t="s">
        <v>1122</v>
      </c>
      <c r="C164" s="327" t="s">
        <v>1128</v>
      </c>
      <c r="D164" s="327">
        <v>13</v>
      </c>
      <c r="E164" s="327">
        <v>14</v>
      </c>
      <c r="F164" s="327">
        <v>15</v>
      </c>
      <c r="G164" s="327">
        <v>16</v>
      </c>
      <c r="H164" s="327">
        <v>17</v>
      </c>
      <c r="I164" s="327">
        <v>18</v>
      </c>
      <c r="J164" s="327">
        <v>19</v>
      </c>
      <c r="K164" s="327">
        <v>20</v>
      </c>
      <c r="L164" s="327">
        <v>21</v>
      </c>
      <c r="M164" s="327">
        <v>22</v>
      </c>
      <c r="N164" s="327">
        <v>23</v>
      </c>
    </row>
    <row r="165" spans="1:38" s="144" customFormat="1" x14ac:dyDescent="0.25">
      <c r="A165" s="818" t="s">
        <v>773</v>
      </c>
      <c r="L165" s="144" t="s">
        <v>783</v>
      </c>
      <c r="M165" s="144" t="s">
        <v>783</v>
      </c>
      <c r="N165" s="144" t="s">
        <v>1146</v>
      </c>
    </row>
    <row r="166" spans="1:38" s="118" customFormat="1" x14ac:dyDescent="0.25">
      <c r="A166" s="253" t="s">
        <v>774</v>
      </c>
      <c r="C166" s="118" t="s">
        <v>1115</v>
      </c>
    </row>
    <row r="168" spans="1:38" s="314" customFormat="1" ht="25.5" x14ac:dyDescent="0.25">
      <c r="A168" s="253" t="s">
        <v>769</v>
      </c>
      <c r="B168" s="539" t="s">
        <v>1100</v>
      </c>
      <c r="C168" s="800" t="s">
        <v>1101</v>
      </c>
      <c r="D168" s="539" t="s">
        <v>1099</v>
      </c>
      <c r="E168" s="560" t="s">
        <v>826</v>
      </c>
      <c r="F168" s="562" t="s">
        <v>357</v>
      </c>
      <c r="G168" s="563" t="s">
        <v>356</v>
      </c>
      <c r="H168" s="539" t="s">
        <v>828</v>
      </c>
      <c r="I168" s="539" t="s">
        <v>58</v>
      </c>
      <c r="J168" s="539" t="s">
        <v>803</v>
      </c>
      <c r="K168" s="539" t="s">
        <v>866</v>
      </c>
      <c r="M168" s="536" t="s">
        <v>834</v>
      </c>
      <c r="N168" s="537" t="s">
        <v>829</v>
      </c>
      <c r="O168" s="538"/>
      <c r="P168" s="526" t="s">
        <v>675</v>
      </c>
      <c r="Q168" s="780" t="s">
        <v>1066</v>
      </c>
      <c r="R168" s="526" t="s">
        <v>676</v>
      </c>
      <c r="S168" s="526" t="s">
        <v>65</v>
      </c>
      <c r="T168" s="526" t="s">
        <v>1</v>
      </c>
      <c r="U168" s="527" t="s">
        <v>677</v>
      </c>
      <c r="V168" s="528" t="s">
        <v>830</v>
      </c>
      <c r="W168" s="529" t="s">
        <v>678</v>
      </c>
      <c r="X168" s="526" t="s">
        <v>679</v>
      </c>
      <c r="Y168" s="530" t="s">
        <v>672</v>
      </c>
      <c r="Z168" s="531" t="s">
        <v>672</v>
      </c>
      <c r="AA168" s="531" t="s">
        <v>672</v>
      </c>
      <c r="AB168" s="531" t="s">
        <v>672</v>
      </c>
      <c r="AC168" s="526" t="s">
        <v>672</v>
      </c>
      <c r="AD168" s="526" t="s">
        <v>831</v>
      </c>
      <c r="AE168" s="526" t="s">
        <v>672</v>
      </c>
      <c r="AF168" s="526" t="s">
        <v>672</v>
      </c>
      <c r="AG168" s="532" t="s">
        <v>832</v>
      </c>
      <c r="AH168" s="533" t="s">
        <v>672</v>
      </c>
      <c r="AI168" s="526" t="s">
        <v>672</v>
      </c>
      <c r="AJ168" s="526" t="s">
        <v>672</v>
      </c>
      <c r="AK168" s="534" t="s">
        <v>833</v>
      </c>
      <c r="AL168" s="535"/>
    </row>
    <row r="169" spans="1:38" s="314" customFormat="1" x14ac:dyDescent="0.25">
      <c r="A169" s="254" t="s">
        <v>770</v>
      </c>
      <c r="B169" s="797"/>
      <c r="C169" s="797" t="str">
        <f>IF(B169&lt;&gt;"",1,"")</f>
        <v/>
      </c>
      <c r="D169" s="557"/>
      <c r="E169" s="561"/>
      <c r="F169" s="325"/>
      <c r="G169" s="793">
        <f>U169</f>
        <v>0</v>
      </c>
      <c r="H169" s="496"/>
      <c r="I169" s="328"/>
    </row>
    <row r="170" spans="1:38" s="314" customFormat="1" x14ac:dyDescent="0.25">
      <c r="A170" s="253" t="s">
        <v>771</v>
      </c>
      <c r="B170" s="327">
        <v>1</v>
      </c>
      <c r="C170" s="327"/>
      <c r="D170" s="327">
        <v>5</v>
      </c>
      <c r="E170" s="327">
        <v>8</v>
      </c>
      <c r="F170" s="327">
        <v>13</v>
      </c>
      <c r="G170" s="327">
        <v>14</v>
      </c>
      <c r="H170" s="327">
        <v>11</v>
      </c>
      <c r="I170" s="328">
        <v>20</v>
      </c>
      <c r="J170" s="329">
        <v>15</v>
      </c>
      <c r="K170" s="329">
        <v>10</v>
      </c>
      <c r="L170" s="329">
        <v>6</v>
      </c>
      <c r="M170" s="329">
        <v>6</v>
      </c>
      <c r="N170" s="329">
        <v>10</v>
      </c>
      <c r="O170" s="329">
        <v>1</v>
      </c>
      <c r="P170" s="329">
        <v>45</v>
      </c>
      <c r="Q170" s="329"/>
      <c r="R170" s="329">
        <v>13</v>
      </c>
      <c r="S170" s="329">
        <v>16</v>
      </c>
      <c r="T170" s="329">
        <v>10</v>
      </c>
      <c r="U170" s="329">
        <v>10</v>
      </c>
      <c r="V170" s="329">
        <v>10</v>
      </c>
      <c r="W170" s="329">
        <v>10</v>
      </c>
      <c r="X170" s="329">
        <v>10</v>
      </c>
      <c r="Y170" s="329">
        <v>10</v>
      </c>
      <c r="Z170" s="329">
        <v>0</v>
      </c>
      <c r="AA170" s="329">
        <v>0</v>
      </c>
      <c r="AB170" s="329">
        <v>0</v>
      </c>
      <c r="AC170" s="329">
        <v>0</v>
      </c>
      <c r="AD170" s="329">
        <v>0</v>
      </c>
      <c r="AE170" s="329">
        <v>0</v>
      </c>
      <c r="AF170" s="329">
        <v>0</v>
      </c>
      <c r="AG170" s="329">
        <v>0</v>
      </c>
      <c r="AH170" s="329">
        <v>0</v>
      </c>
      <c r="AI170" s="329">
        <v>0</v>
      </c>
      <c r="AJ170" s="329">
        <v>0</v>
      </c>
      <c r="AK170" s="329">
        <v>0</v>
      </c>
      <c r="AL170" s="329">
        <v>0</v>
      </c>
    </row>
    <row r="171" spans="1:38" s="314" customFormat="1" x14ac:dyDescent="0.25">
      <c r="A171" s="253" t="s">
        <v>772</v>
      </c>
      <c r="B171" s="327">
        <v>5</v>
      </c>
      <c r="C171" s="327"/>
      <c r="D171" s="327">
        <v>1</v>
      </c>
      <c r="E171" s="327">
        <v>2</v>
      </c>
      <c r="F171" s="327">
        <v>2</v>
      </c>
      <c r="G171" s="327"/>
      <c r="H171" s="327">
        <v>2</v>
      </c>
      <c r="I171" s="314">
        <v>2</v>
      </c>
      <c r="J171" s="314">
        <v>2</v>
      </c>
      <c r="K171" s="327">
        <v>2</v>
      </c>
      <c r="L171" s="328">
        <v>-1</v>
      </c>
      <c r="M171" s="327"/>
      <c r="P171" s="327"/>
      <c r="Q171" s="327"/>
      <c r="R171" s="329"/>
      <c r="S171" s="329"/>
      <c r="T171" s="329"/>
      <c r="U171" s="329"/>
      <c r="V171" s="329"/>
      <c r="W171" s="329"/>
      <c r="X171" s="329"/>
      <c r="Y171" s="329"/>
      <c r="Z171" s="329"/>
      <c r="AA171" s="360"/>
      <c r="AB171" s="329"/>
      <c r="AC171" s="329"/>
      <c r="AD171" s="329"/>
      <c r="AE171" s="329"/>
      <c r="AF171" s="329"/>
      <c r="AG171" s="329"/>
    </row>
    <row r="172" spans="1:38" s="314" customFormat="1" ht="44.25" customHeight="1" x14ac:dyDescent="0.25">
      <c r="A172" s="253" t="s">
        <v>773</v>
      </c>
      <c r="B172" s="559"/>
      <c r="C172" s="801" t="s">
        <v>1102</v>
      </c>
      <c r="D172" s="798" t="s">
        <v>1091</v>
      </c>
      <c r="E172" s="558" t="s">
        <v>864</v>
      </c>
      <c r="F172" s="558" t="s">
        <v>865</v>
      </c>
      <c r="G172" s="327"/>
      <c r="H172" s="558" t="s">
        <v>853</v>
      </c>
      <c r="I172" s="558" t="s">
        <v>852</v>
      </c>
      <c r="J172" s="559" t="s">
        <v>858</v>
      </c>
      <c r="K172" s="559" t="s">
        <v>867</v>
      </c>
      <c r="L172" s="327"/>
      <c r="M172" s="327"/>
      <c r="P172" s="556" t="s">
        <v>856</v>
      </c>
      <c r="Q172" s="556"/>
      <c r="R172" s="329"/>
      <c r="S172" s="329"/>
      <c r="T172" s="329"/>
      <c r="U172" s="329"/>
      <c r="V172" s="329"/>
      <c r="W172" s="329"/>
      <c r="X172" s="329"/>
      <c r="Y172" s="329"/>
      <c r="Z172" s="329"/>
      <c r="AA172" s="360"/>
      <c r="AB172" s="329"/>
      <c r="AC172" s="329"/>
      <c r="AD172" s="329"/>
      <c r="AE172" s="329"/>
      <c r="AF172" s="329"/>
      <c r="AG172" s="329"/>
    </row>
    <row r="173" spans="1:38" s="314" customFormat="1" x14ac:dyDescent="0.25">
      <c r="A173" s="253" t="s">
        <v>774</v>
      </c>
      <c r="B173" s="327" t="s">
        <v>1090</v>
      </c>
      <c r="C173" s="327"/>
      <c r="D173" s="327"/>
      <c r="E173" s="471"/>
      <c r="F173" s="471"/>
      <c r="G173" s="471"/>
      <c r="H173" s="471"/>
      <c r="I173" s="328"/>
      <c r="J173" s="327"/>
      <c r="K173" s="327"/>
      <c r="L173" s="327"/>
      <c r="M173" s="327"/>
      <c r="P173" s="327"/>
      <c r="Q173" s="327"/>
      <c r="R173" s="329"/>
      <c r="S173" s="329"/>
      <c r="T173" s="329"/>
      <c r="U173" s="329"/>
      <c r="V173" s="329"/>
      <c r="W173" s="329"/>
      <c r="X173" s="329"/>
      <c r="Y173" s="329"/>
      <c r="Z173" s="329"/>
      <c r="AA173" s="360"/>
      <c r="AB173" s="329"/>
      <c r="AC173" s="329"/>
      <c r="AD173" s="329"/>
      <c r="AE173" s="329"/>
      <c r="AF173" s="329"/>
      <c r="AG173" s="329"/>
    </row>
    <row r="175" spans="1:38" ht="15.75" thickBot="1" x14ac:dyDescent="0.3">
      <c r="A175" s="64" t="s">
        <v>1075</v>
      </c>
      <c r="B175" s="118"/>
    </row>
    <row r="176" spans="1:38" ht="29.25" customHeight="1" thickBot="1" x14ac:dyDescent="0.3">
      <c r="A176" s="253" t="s">
        <v>661</v>
      </c>
      <c r="B176" s="120" t="s">
        <v>1076</v>
      </c>
      <c r="C176" s="120" t="s">
        <v>827</v>
      </c>
      <c r="D176" s="120" t="s">
        <v>1152</v>
      </c>
      <c r="E176" s="120" t="s">
        <v>357</v>
      </c>
      <c r="F176" s="120" t="s">
        <v>1</v>
      </c>
      <c r="G176" s="120" t="s">
        <v>58</v>
      </c>
      <c r="H176" s="120" t="s">
        <v>365</v>
      </c>
      <c r="I176" s="120" t="s">
        <v>1153</v>
      </c>
      <c r="J176" s="120" t="s">
        <v>541</v>
      </c>
      <c r="K176" s="120" t="s">
        <v>1077</v>
      </c>
      <c r="L176" s="821" t="s">
        <v>799</v>
      </c>
      <c r="M176" s="120" t="s">
        <v>1148</v>
      </c>
    </row>
    <row r="177" spans="1:47" s="118" customFormat="1" x14ac:dyDescent="0.25">
      <c r="A177" s="254" t="s">
        <v>577</v>
      </c>
      <c r="B177" s="118" t="s">
        <v>1079</v>
      </c>
      <c r="C177" s="118" t="s">
        <v>1118</v>
      </c>
      <c r="D177" s="118" t="s">
        <v>1157</v>
      </c>
      <c r="E177" s="325" t="s">
        <v>1081</v>
      </c>
      <c r="F177" s="118" t="s">
        <v>13</v>
      </c>
      <c r="G177" s="118" t="s">
        <v>1084</v>
      </c>
      <c r="H177" s="118" t="s">
        <v>1085</v>
      </c>
      <c r="I177" s="118" t="s">
        <v>1154</v>
      </c>
      <c r="J177" s="118" t="s">
        <v>1086</v>
      </c>
      <c r="K177" s="144" t="s">
        <v>70</v>
      </c>
      <c r="L177" s="829" t="str">
        <f>H177&amp;" "&amp;C177&amp;" "&amp;B177</f>
        <v>394-1234567 7749/169409 04.04.2013 14:26:36</v>
      </c>
      <c r="M177" s="144" t="s">
        <v>70</v>
      </c>
      <c r="N177"/>
    </row>
    <row r="178" spans="1:47" s="118" customFormat="1" x14ac:dyDescent="0.25">
      <c r="A178" s="253" t="s">
        <v>662</v>
      </c>
      <c r="B178" s="144" t="s">
        <v>823</v>
      </c>
      <c r="C178" s="144" t="s">
        <v>1119</v>
      </c>
      <c r="D178" s="144" t="s">
        <v>94</v>
      </c>
      <c r="E178" s="144" t="s">
        <v>111</v>
      </c>
      <c r="F178" s="144" t="s">
        <v>113</v>
      </c>
      <c r="G178" s="144" t="s">
        <v>71</v>
      </c>
      <c r="H178" s="144" t="s">
        <v>132</v>
      </c>
      <c r="I178" s="144" t="s">
        <v>94</v>
      </c>
      <c r="J178" s="144" t="s">
        <v>71</v>
      </c>
      <c r="K178" s="144" t="s">
        <v>1123</v>
      </c>
      <c r="L178" s="822" t="s">
        <v>1158</v>
      </c>
      <c r="M178" s="144" t="s">
        <v>1149</v>
      </c>
      <c r="N178"/>
    </row>
    <row r="179" spans="1:47" s="118" customFormat="1" x14ac:dyDescent="0.25">
      <c r="A179" s="253" t="s">
        <v>663</v>
      </c>
      <c r="B179" s="118" t="s">
        <v>70</v>
      </c>
      <c r="C179" s="118" t="s">
        <v>70</v>
      </c>
      <c r="D179" s="144" t="s">
        <v>1082</v>
      </c>
      <c r="E179" s="144" t="s">
        <v>1082</v>
      </c>
      <c r="F179" s="144" t="s">
        <v>1082</v>
      </c>
      <c r="G179" s="144" t="s">
        <v>1082</v>
      </c>
      <c r="H179" s="810" t="s">
        <v>1122</v>
      </c>
      <c r="I179" s="144" t="s">
        <v>906</v>
      </c>
      <c r="J179" s="810" t="s">
        <v>1120</v>
      </c>
      <c r="K179" s="810" t="s">
        <v>1121</v>
      </c>
      <c r="L179" s="810" t="s">
        <v>1462</v>
      </c>
      <c r="M179" s="118" t="s">
        <v>70</v>
      </c>
      <c r="N179"/>
    </row>
    <row r="180" spans="1:47" s="118" customFormat="1" x14ac:dyDescent="0.25">
      <c r="A180" s="253" t="s">
        <v>664</v>
      </c>
      <c r="B180" s="118" t="s">
        <v>1078</v>
      </c>
      <c r="C180" s="118" t="s">
        <v>1080</v>
      </c>
      <c r="L180" s="824"/>
      <c r="N180"/>
    </row>
    <row r="181" spans="1:47" s="118" customFormat="1" x14ac:dyDescent="0.25">
      <c r="A181" s="253" t="s">
        <v>782</v>
      </c>
      <c r="D181" s="828" t="s">
        <v>1090</v>
      </c>
      <c r="E181" s="118" t="s">
        <v>1150</v>
      </c>
      <c r="F181" s="118" t="s">
        <v>1156</v>
      </c>
      <c r="G181" s="118" t="s">
        <v>1151</v>
      </c>
      <c r="I181" s="820" t="s">
        <v>1155</v>
      </c>
      <c r="L181" s="823"/>
    </row>
    <row r="183" spans="1:47" ht="15.75" thickBot="1" x14ac:dyDescent="0.3">
      <c r="A183" s="64" t="s">
        <v>516</v>
      </c>
      <c r="G183" s="91"/>
    </row>
    <row r="184" spans="1:47" ht="71.25" thickBot="1" x14ac:dyDescent="0.3">
      <c r="A184" s="95" t="s">
        <v>512</v>
      </c>
      <c r="B184" s="96" t="s">
        <v>513</v>
      </c>
      <c r="C184" s="97">
        <v>40057</v>
      </c>
      <c r="D184" s="97">
        <v>40087</v>
      </c>
      <c r="E184" s="97">
        <v>40118</v>
      </c>
      <c r="F184" s="97">
        <v>40148</v>
      </c>
      <c r="G184" s="98" t="s">
        <v>114</v>
      </c>
      <c r="H184" s="97">
        <v>40179</v>
      </c>
      <c r="I184" s="97">
        <v>40210</v>
      </c>
      <c r="J184" s="97">
        <v>40238</v>
      </c>
      <c r="K184" s="97">
        <v>40269</v>
      </c>
      <c r="L184" s="97">
        <v>40299</v>
      </c>
      <c r="M184" s="97">
        <v>40330</v>
      </c>
      <c r="N184" s="97">
        <v>40360</v>
      </c>
      <c r="O184" s="97">
        <v>40391</v>
      </c>
      <c r="P184" s="97">
        <v>40422</v>
      </c>
      <c r="Q184" s="97">
        <v>40452</v>
      </c>
      <c r="R184" s="97">
        <v>40483</v>
      </c>
      <c r="S184" s="97">
        <v>40513</v>
      </c>
      <c r="T184" s="98" t="s">
        <v>135</v>
      </c>
      <c r="U184" s="97">
        <v>40544</v>
      </c>
      <c r="V184" s="97">
        <v>40575</v>
      </c>
      <c r="W184" s="97">
        <v>40603</v>
      </c>
      <c r="X184" s="97">
        <v>40634</v>
      </c>
      <c r="Y184" s="97">
        <v>40664</v>
      </c>
      <c r="Z184" s="97">
        <v>40695</v>
      </c>
      <c r="AA184" s="97">
        <v>40725</v>
      </c>
      <c r="AB184" s="97">
        <v>40756</v>
      </c>
      <c r="AC184" s="97">
        <v>40787</v>
      </c>
      <c r="AD184" s="97">
        <v>40817</v>
      </c>
      <c r="AE184" s="97">
        <v>40848</v>
      </c>
      <c r="AF184" s="97">
        <v>40878</v>
      </c>
      <c r="AG184" s="98" t="s">
        <v>108</v>
      </c>
      <c r="AH184" s="97">
        <v>40909</v>
      </c>
      <c r="AI184" s="97">
        <v>40940</v>
      </c>
      <c r="AJ184" s="97">
        <v>40969</v>
      </c>
      <c r="AK184" s="97">
        <v>41000</v>
      </c>
      <c r="AL184" s="97">
        <v>41030</v>
      </c>
      <c r="AM184" s="97">
        <v>41061</v>
      </c>
      <c r="AN184" s="97">
        <v>41091</v>
      </c>
      <c r="AO184" s="97">
        <v>41122</v>
      </c>
      <c r="AP184" s="97">
        <v>41153</v>
      </c>
      <c r="AQ184" s="97">
        <v>41183</v>
      </c>
      <c r="AR184" s="97">
        <v>41214</v>
      </c>
      <c r="AS184" s="97">
        <v>41244</v>
      </c>
      <c r="AT184" s="98" t="s">
        <v>109</v>
      </c>
      <c r="AU184" s="99" t="s">
        <v>515</v>
      </c>
    </row>
    <row r="185" spans="1:47" x14ac:dyDescent="0.25">
      <c r="A185" s="100" t="s">
        <v>487</v>
      </c>
      <c r="B185" s="92" t="s">
        <v>486</v>
      </c>
      <c r="C185" s="103"/>
      <c r="D185" s="103"/>
      <c r="E185" s="103"/>
      <c r="F185" s="104"/>
      <c r="G185" s="109">
        <f t="shared" ref="G185:G217" si="0">SUM(C185:F185)</f>
        <v>0</v>
      </c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9">
        <f t="shared" ref="T185:T217" si="1">SUM(H185:S185)</f>
        <v>0</v>
      </c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9">
        <f t="shared" ref="AG185:AG217" si="2">SUM(U185:AF185)</f>
        <v>0</v>
      </c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9">
        <f t="shared" ref="AT185:AT217" si="3">SUM(AH185:AS185)</f>
        <v>0</v>
      </c>
      <c r="AU185" s="110">
        <f t="shared" ref="AU185:AU217" si="4">G185+T185+AG185+AT185</f>
        <v>0</v>
      </c>
    </row>
    <row r="186" spans="1:47" x14ac:dyDescent="0.25">
      <c r="A186" s="100" t="s">
        <v>487</v>
      </c>
      <c r="B186" s="92" t="s">
        <v>455</v>
      </c>
      <c r="C186" s="105"/>
      <c r="D186" s="105"/>
      <c r="E186" s="105"/>
      <c r="F186" s="106"/>
      <c r="G186" s="111">
        <f t="shared" si="0"/>
        <v>0</v>
      </c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11">
        <f t="shared" si="1"/>
        <v>0</v>
      </c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11">
        <f t="shared" si="2"/>
        <v>0</v>
      </c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11">
        <f t="shared" si="3"/>
        <v>0</v>
      </c>
      <c r="AU186" s="110">
        <f t="shared" si="4"/>
        <v>0</v>
      </c>
    </row>
    <row r="187" spans="1:47" x14ac:dyDescent="0.25">
      <c r="A187" s="100" t="s">
        <v>487</v>
      </c>
      <c r="B187" s="92" t="s">
        <v>453</v>
      </c>
      <c r="C187" s="105"/>
      <c r="D187" s="105"/>
      <c r="E187" s="105"/>
      <c r="F187" s="106"/>
      <c r="G187" s="111">
        <f t="shared" si="0"/>
        <v>0</v>
      </c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11">
        <f t="shared" si="1"/>
        <v>0</v>
      </c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11">
        <f t="shared" si="2"/>
        <v>0</v>
      </c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11">
        <f t="shared" si="3"/>
        <v>0</v>
      </c>
      <c r="AU187" s="110">
        <f t="shared" si="4"/>
        <v>0</v>
      </c>
    </row>
    <row r="188" spans="1:47" x14ac:dyDescent="0.25">
      <c r="A188" s="101" t="s">
        <v>487</v>
      </c>
      <c r="B188" s="92" t="s">
        <v>376</v>
      </c>
      <c r="C188" s="105"/>
      <c r="D188" s="105"/>
      <c r="E188" s="105"/>
      <c r="F188" s="106"/>
      <c r="G188" s="111">
        <f t="shared" si="0"/>
        <v>0</v>
      </c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11">
        <f t="shared" si="1"/>
        <v>0</v>
      </c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11">
        <f t="shared" si="2"/>
        <v>0</v>
      </c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11">
        <f t="shared" si="3"/>
        <v>0</v>
      </c>
      <c r="AU188" s="110">
        <f t="shared" si="4"/>
        <v>0</v>
      </c>
    </row>
    <row r="189" spans="1:47" x14ac:dyDescent="0.25">
      <c r="A189" s="100" t="s">
        <v>487</v>
      </c>
      <c r="B189" s="92" t="s">
        <v>464</v>
      </c>
      <c r="C189" s="105"/>
      <c r="D189" s="105"/>
      <c r="E189" s="105"/>
      <c r="F189" s="106"/>
      <c r="G189" s="111">
        <f t="shared" si="0"/>
        <v>0</v>
      </c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11">
        <f t="shared" si="1"/>
        <v>0</v>
      </c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11">
        <f t="shared" si="2"/>
        <v>0</v>
      </c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11">
        <f t="shared" si="3"/>
        <v>0</v>
      </c>
      <c r="AU189" s="110">
        <f t="shared" si="4"/>
        <v>0</v>
      </c>
    </row>
    <row r="190" spans="1:47" x14ac:dyDescent="0.25">
      <c r="A190" s="100" t="s">
        <v>487</v>
      </c>
      <c r="B190" s="92" t="s">
        <v>454</v>
      </c>
      <c r="C190" s="105"/>
      <c r="D190" s="105"/>
      <c r="E190" s="105"/>
      <c r="F190" s="106"/>
      <c r="G190" s="111">
        <f t="shared" si="0"/>
        <v>0</v>
      </c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11">
        <f t="shared" si="1"/>
        <v>0</v>
      </c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11">
        <f t="shared" si="2"/>
        <v>0</v>
      </c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11">
        <f t="shared" si="3"/>
        <v>0</v>
      </c>
      <c r="AU190" s="110">
        <f t="shared" si="4"/>
        <v>0</v>
      </c>
    </row>
    <row r="191" spans="1:47" x14ac:dyDescent="0.25">
      <c r="A191" s="100" t="s">
        <v>487</v>
      </c>
      <c r="B191" s="92" t="s">
        <v>372</v>
      </c>
      <c r="C191" s="105"/>
      <c r="D191" s="105"/>
      <c r="E191" s="105"/>
      <c r="F191" s="106"/>
      <c r="G191" s="111">
        <f t="shared" si="0"/>
        <v>0</v>
      </c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11">
        <f t="shared" si="1"/>
        <v>0</v>
      </c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11">
        <f t="shared" si="2"/>
        <v>0</v>
      </c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11">
        <f t="shared" si="3"/>
        <v>0</v>
      </c>
      <c r="AU191" s="110">
        <f t="shared" si="4"/>
        <v>0</v>
      </c>
    </row>
    <row r="192" spans="1:47" x14ac:dyDescent="0.25">
      <c r="A192" s="100" t="s">
        <v>487</v>
      </c>
      <c r="B192" s="92" t="s">
        <v>485</v>
      </c>
      <c r="C192" s="105"/>
      <c r="D192" s="105"/>
      <c r="E192" s="105"/>
      <c r="F192" s="106"/>
      <c r="G192" s="111">
        <f t="shared" si="0"/>
        <v>0</v>
      </c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11">
        <f t="shared" si="1"/>
        <v>0</v>
      </c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11">
        <f t="shared" si="2"/>
        <v>0</v>
      </c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11">
        <f t="shared" si="3"/>
        <v>0</v>
      </c>
      <c r="AU192" s="110">
        <f t="shared" si="4"/>
        <v>0</v>
      </c>
    </row>
    <row r="193" spans="1:47" x14ac:dyDescent="0.25">
      <c r="A193" s="100" t="s">
        <v>487</v>
      </c>
      <c r="B193" s="92" t="s">
        <v>500</v>
      </c>
      <c r="C193" s="105"/>
      <c r="D193" s="105"/>
      <c r="E193" s="105"/>
      <c r="F193" s="106"/>
      <c r="G193" s="111">
        <f t="shared" si="0"/>
        <v>0</v>
      </c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11">
        <f t="shared" si="1"/>
        <v>0</v>
      </c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11">
        <f t="shared" si="2"/>
        <v>0</v>
      </c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11">
        <f t="shared" si="3"/>
        <v>0</v>
      </c>
      <c r="AU193" s="110">
        <f t="shared" si="4"/>
        <v>0</v>
      </c>
    </row>
    <row r="194" spans="1:47" x14ac:dyDescent="0.25">
      <c r="A194" s="100" t="s">
        <v>487</v>
      </c>
      <c r="B194" s="92" t="s">
        <v>501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487</v>
      </c>
      <c r="B195" s="92" t="s">
        <v>482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0" t="s">
        <v>487</v>
      </c>
      <c r="B196" s="92" t="s">
        <v>503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509</v>
      </c>
      <c r="B197" s="92" t="s">
        <v>483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0" t="s">
        <v>509</v>
      </c>
      <c r="B198" s="92" t="s">
        <v>484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1" t="s">
        <v>488</v>
      </c>
      <c r="B199" s="92" t="s">
        <v>481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1" t="s">
        <v>488</v>
      </c>
      <c r="B200" s="92" t="s">
        <v>458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1" t="s">
        <v>488</v>
      </c>
      <c r="B201" s="92" t="s">
        <v>502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488</v>
      </c>
      <c r="B202" s="92" t="s">
        <v>456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488</v>
      </c>
      <c r="B203" s="92" t="s">
        <v>510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488</v>
      </c>
      <c r="B204" s="92" t="s">
        <v>507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1" t="s">
        <v>488</v>
      </c>
      <c r="B205" s="92" t="s">
        <v>506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488</v>
      </c>
      <c r="B206" s="92" t="s">
        <v>371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0" t="s">
        <v>488</v>
      </c>
      <c r="B207" s="92" t="s">
        <v>504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0" t="s">
        <v>491</v>
      </c>
      <c r="B208" s="92" t="s">
        <v>505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0" t="s">
        <v>491</v>
      </c>
      <c r="B209" s="92" t="s">
        <v>457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x14ac:dyDescent="0.25">
      <c r="A210" s="100" t="s">
        <v>491</v>
      </c>
      <c r="B210" s="92" t="s">
        <v>492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491</v>
      </c>
      <c r="B211" s="92" t="s">
        <v>489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0" t="s">
        <v>491</v>
      </c>
      <c r="B212" s="92" t="s">
        <v>490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491</v>
      </c>
      <c r="B213" s="92" t="s">
        <v>508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491</v>
      </c>
      <c r="B214" s="92" t="s">
        <v>493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42</v>
      </c>
      <c r="B215" s="92" t="s">
        <v>42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373</v>
      </c>
      <c r="B216" s="92" t="s">
        <v>373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ht="15.75" thickBot="1" x14ac:dyDescent="0.3">
      <c r="A217" s="102" t="s">
        <v>511</v>
      </c>
      <c r="B217" s="93" t="s">
        <v>511</v>
      </c>
      <c r="C217" s="107"/>
      <c r="D217" s="107"/>
      <c r="E217" s="107"/>
      <c r="F217" s="108"/>
      <c r="G217" s="112">
        <f t="shared" si="0"/>
        <v>0</v>
      </c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12">
        <f t="shared" si="1"/>
        <v>0</v>
      </c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12">
        <f t="shared" si="2"/>
        <v>0</v>
      </c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12">
        <f t="shared" si="3"/>
        <v>0</v>
      </c>
      <c r="AU217" s="113">
        <f t="shared" si="4"/>
        <v>0</v>
      </c>
    </row>
    <row r="218" spans="1:47" ht="15.75" thickBot="1" x14ac:dyDescent="0.3">
      <c r="A218" s="91"/>
      <c r="B218" s="94" t="s">
        <v>514</v>
      </c>
      <c r="C218" s="32">
        <f t="shared" ref="C218:AU218" si="5">SUM(C185:C217)</f>
        <v>0</v>
      </c>
      <c r="D218" s="32">
        <f t="shared" si="5"/>
        <v>0</v>
      </c>
      <c r="E218" s="32">
        <f t="shared" si="5"/>
        <v>0</v>
      </c>
      <c r="F218" s="32">
        <f t="shared" si="5"/>
        <v>0</v>
      </c>
      <c r="G218" s="115">
        <f t="shared" si="5"/>
        <v>0</v>
      </c>
      <c r="H218" s="32">
        <f t="shared" si="5"/>
        <v>0</v>
      </c>
      <c r="I218" s="32">
        <f t="shared" si="5"/>
        <v>0</v>
      </c>
      <c r="J218" s="32">
        <f t="shared" si="5"/>
        <v>0</v>
      </c>
      <c r="K218" s="32">
        <f t="shared" si="5"/>
        <v>0</v>
      </c>
      <c r="L218" s="32">
        <f t="shared" si="5"/>
        <v>0</v>
      </c>
      <c r="M218" s="32">
        <f t="shared" si="5"/>
        <v>0</v>
      </c>
      <c r="N218" s="32">
        <f t="shared" si="5"/>
        <v>0</v>
      </c>
      <c r="O218" s="32">
        <f t="shared" si="5"/>
        <v>0</v>
      </c>
      <c r="P218" s="32">
        <f t="shared" si="5"/>
        <v>0</v>
      </c>
      <c r="Q218" s="32">
        <f t="shared" si="5"/>
        <v>0</v>
      </c>
      <c r="R218" s="32">
        <f t="shared" si="5"/>
        <v>0</v>
      </c>
      <c r="S218" s="32">
        <f t="shared" si="5"/>
        <v>0</v>
      </c>
      <c r="T218" s="115">
        <f t="shared" si="5"/>
        <v>0</v>
      </c>
      <c r="U218" s="32">
        <f t="shared" si="5"/>
        <v>0</v>
      </c>
      <c r="V218" s="32">
        <f t="shared" si="5"/>
        <v>0</v>
      </c>
      <c r="W218" s="32">
        <f t="shared" si="5"/>
        <v>0</v>
      </c>
      <c r="X218" s="32">
        <f t="shared" si="5"/>
        <v>0</v>
      </c>
      <c r="Y218" s="32">
        <f t="shared" si="5"/>
        <v>0</v>
      </c>
      <c r="Z218" s="32">
        <f t="shared" si="5"/>
        <v>0</v>
      </c>
      <c r="AA218" s="32">
        <f t="shared" si="5"/>
        <v>0</v>
      </c>
      <c r="AB218" s="32">
        <f t="shared" si="5"/>
        <v>0</v>
      </c>
      <c r="AC218" s="32">
        <f t="shared" si="5"/>
        <v>0</v>
      </c>
      <c r="AD218" s="32">
        <f t="shared" si="5"/>
        <v>0</v>
      </c>
      <c r="AE218" s="32">
        <f t="shared" si="5"/>
        <v>0</v>
      </c>
      <c r="AF218" s="32">
        <f t="shared" si="5"/>
        <v>0</v>
      </c>
      <c r="AG218" s="115">
        <f t="shared" si="5"/>
        <v>0</v>
      </c>
      <c r="AH218" s="32">
        <f t="shared" si="5"/>
        <v>0</v>
      </c>
      <c r="AI218" s="32">
        <f t="shared" si="5"/>
        <v>0</v>
      </c>
      <c r="AJ218" s="32">
        <f t="shared" si="5"/>
        <v>0</v>
      </c>
      <c r="AK218" s="32">
        <f t="shared" si="5"/>
        <v>0</v>
      </c>
      <c r="AL218" s="32">
        <f t="shared" si="5"/>
        <v>0</v>
      </c>
      <c r="AM218" s="32">
        <f t="shared" si="5"/>
        <v>0</v>
      </c>
      <c r="AN218" s="32">
        <f t="shared" si="5"/>
        <v>0</v>
      </c>
      <c r="AO218" s="32">
        <f t="shared" si="5"/>
        <v>0</v>
      </c>
      <c r="AP218" s="32">
        <f t="shared" si="5"/>
        <v>0</v>
      </c>
      <c r="AQ218" s="32">
        <f t="shared" si="5"/>
        <v>0</v>
      </c>
      <c r="AR218" s="32">
        <f t="shared" si="5"/>
        <v>0</v>
      </c>
      <c r="AS218" s="32">
        <f t="shared" si="5"/>
        <v>0</v>
      </c>
      <c r="AT218" s="115">
        <f t="shared" si="5"/>
        <v>0</v>
      </c>
      <c r="AU218" s="114">
        <f t="shared" si="5"/>
        <v>0</v>
      </c>
    </row>
    <row r="1157" spans="1:23" ht="15.75" thickBot="1" x14ac:dyDescent="0.3">
      <c r="A1157" s="361"/>
      <c r="B1157" s="362"/>
      <c r="C1157" s="363"/>
      <c r="D1157" s="363"/>
      <c r="E1157" s="364"/>
      <c r="F1157" s="365"/>
      <c r="G1157" s="366"/>
      <c r="H1157" s="366"/>
      <c r="I1157" s="367"/>
      <c r="J1157" s="368"/>
      <c r="K1157" s="368"/>
      <c r="L1157" s="369"/>
      <c r="M1157" s="367"/>
      <c r="N1157" s="370"/>
      <c r="O1157" s="370"/>
      <c r="P1157" s="371"/>
      <c r="Q1157" s="371"/>
      <c r="R1157" s="371"/>
      <c r="S1157" s="372"/>
      <c r="T1157" s="373"/>
      <c r="U1157" s="373"/>
      <c r="V1157" s="373"/>
      <c r="W1157" s="371"/>
    </row>
    <row r="1158" spans="1:23" x14ac:dyDescent="0.25">
      <c r="A1158" s="361"/>
      <c r="B1158" s="376" t="s">
        <v>723</v>
      </c>
      <c r="C1158" s="426">
        <f>COUNTIF(B$1:B1155,B1158)</f>
        <v>1</v>
      </c>
      <c r="D1158" s="434">
        <f>C1158/C1163</f>
        <v>0.2</v>
      </c>
      <c r="E1158" s="377"/>
      <c r="F1158" s="365"/>
      <c r="G1158" s="366"/>
      <c r="H1158" s="366"/>
      <c r="I1158" s="378"/>
      <c r="J1158" s="427">
        <f>SUMIF(B$3:B1155,B1158,T$3:T1162)</f>
        <v>48</v>
      </c>
      <c r="K1158" s="438"/>
      <c r="L1158" s="439">
        <f>J1158/J1163</f>
        <v>1</v>
      </c>
      <c r="M1158" s="370"/>
      <c r="N1158" s="370"/>
      <c r="O1158" s="370"/>
      <c r="P1158" s="371"/>
      <c r="Q1158" s="371"/>
      <c r="R1158" s="371"/>
      <c r="S1158" s="372" t="s">
        <v>700</v>
      </c>
      <c r="T1158" s="380">
        <v>1261915799.52244</v>
      </c>
      <c r="U1158" s="380" t="e">
        <f>SUM(#REF!)</f>
        <v>#REF!</v>
      </c>
      <c r="V1158" s="380" t="e">
        <f>SUM(#REF!)</f>
        <v>#REF!</v>
      </c>
      <c r="W1158" s="371" t="s">
        <v>724</v>
      </c>
    </row>
    <row r="1159" spans="1:23" x14ac:dyDescent="0.25">
      <c r="A1159" s="361"/>
      <c r="B1159" s="381" t="s">
        <v>725</v>
      </c>
      <c r="C1159" s="428">
        <f>COUNTIF(B$1:B1155,B1159)</f>
        <v>1</v>
      </c>
      <c r="D1159" s="435">
        <f>C1159/C1163</f>
        <v>0.2</v>
      </c>
      <c r="E1159" s="377"/>
      <c r="F1159" s="365"/>
      <c r="G1159" s="366"/>
      <c r="H1159" s="366"/>
      <c r="I1159" s="378"/>
      <c r="J1159" s="429">
        <f>SUMIF(B$3:B1158,B1159,T$3:T1163)</f>
        <v>0</v>
      </c>
      <c r="K1159" s="440"/>
      <c r="L1159" s="441">
        <f>J1159/J1163</f>
        <v>0</v>
      </c>
      <c r="M1159" s="370"/>
      <c r="N1159" s="370"/>
      <c r="O1159" s="370"/>
      <c r="P1159" s="375"/>
      <c r="Q1159" s="375"/>
      <c r="R1159" s="375"/>
      <c r="S1159" s="382"/>
      <c r="T1159" s="383"/>
      <c r="U1159" s="383"/>
      <c r="V1159" s="383"/>
      <c r="W1159" s="375"/>
    </row>
    <row r="1160" spans="1:23" x14ac:dyDescent="0.25">
      <c r="A1160" s="361"/>
      <c r="B1160" s="385" t="s">
        <v>726</v>
      </c>
      <c r="C1160" s="430">
        <f>COUNTIF(B$1:B1155,B1160)</f>
        <v>1</v>
      </c>
      <c r="D1160" s="436">
        <f>C1160/C1163</f>
        <v>0.2</v>
      </c>
      <c r="E1160" s="377"/>
      <c r="F1160" s="365"/>
      <c r="G1160" s="366"/>
      <c r="H1160" s="366"/>
      <c r="I1160" s="378"/>
      <c r="J1160" s="431">
        <f>SUMIF(B$3:B1159,B1160,T$3:T1163)</f>
        <v>0</v>
      </c>
      <c r="K1160" s="442"/>
      <c r="L1160" s="443">
        <f>J1160/J1163</f>
        <v>0</v>
      </c>
      <c r="M1160" s="367"/>
      <c r="N1160" s="370"/>
      <c r="O1160" s="370"/>
      <c r="P1160" s="375"/>
      <c r="Q1160" s="375"/>
      <c r="R1160" s="375"/>
      <c r="S1160" s="382"/>
      <c r="T1160" s="383"/>
      <c r="U1160" s="383"/>
      <c r="V1160" s="383"/>
      <c r="W1160" s="375"/>
    </row>
    <row r="1161" spans="1:23" ht="15.75" thickBot="1" x14ac:dyDescent="0.3">
      <c r="A1161" s="361"/>
      <c r="B1161" s="386" t="s">
        <v>727</v>
      </c>
      <c r="C1161" s="432">
        <f>COUNTIF(B$1:B1158,B1161)</f>
        <v>1</v>
      </c>
      <c r="D1161" s="437">
        <f>C1161/C1163</f>
        <v>0.2</v>
      </c>
      <c r="E1161" s="377"/>
      <c r="F1161" s="365"/>
      <c r="G1161" s="366"/>
      <c r="H1161" s="366"/>
      <c r="I1161" s="378"/>
      <c r="J1161" s="433">
        <f>SUMIF(B$3:B1160,B1161,T$3:T1163)</f>
        <v>0</v>
      </c>
      <c r="K1161" s="444"/>
      <c r="L1161" s="445">
        <f>J1161/J1163</f>
        <v>0</v>
      </c>
      <c r="M1161" s="367"/>
      <c r="N1161" s="370"/>
      <c r="O1161" s="370"/>
      <c r="P1161" s="375"/>
      <c r="Q1161" s="375"/>
      <c r="R1161" s="375"/>
      <c r="S1161" s="382"/>
      <c r="T1161" s="383"/>
      <c r="U1161" s="383"/>
      <c r="V1161" s="383"/>
      <c r="W1161" s="375"/>
    </row>
    <row r="1162" spans="1:23" ht="16.5" thickTop="1" thickBot="1" x14ac:dyDescent="0.3">
      <c r="A1162" s="387"/>
      <c r="B1162" s="388" t="s">
        <v>728</v>
      </c>
      <c r="C1162" s="389">
        <f>COUNTIF(B$1:B1155,B1162)</f>
        <v>1</v>
      </c>
      <c r="D1162" s="390">
        <f>C1162/C1163</f>
        <v>0.2</v>
      </c>
      <c r="E1162" s="391"/>
      <c r="F1162" s="392"/>
      <c r="G1162" s="393"/>
      <c r="H1162" s="393"/>
      <c r="I1162" s="394"/>
      <c r="J1162" s="446">
        <f>SUMIF(B$3:B1161,B1162,T$3:T1163)</f>
        <v>0</v>
      </c>
      <c r="K1162" s="447"/>
      <c r="L1162" s="448">
        <f>J1162/J1163</f>
        <v>0</v>
      </c>
      <c r="M1162" s="395"/>
      <c r="N1162" s="395"/>
      <c r="O1162" s="395"/>
      <c r="P1162" s="375"/>
      <c r="Q1162" s="375"/>
      <c r="R1162" s="375"/>
      <c r="S1162" s="382"/>
      <c r="T1162" s="383"/>
      <c r="U1162" s="383"/>
      <c r="V1162" s="383"/>
      <c r="W1162" s="375"/>
    </row>
    <row r="1163" spans="1:23" x14ac:dyDescent="0.25">
      <c r="A1163" s="361"/>
      <c r="B1163" s="396"/>
      <c r="C1163" s="397">
        <f>SUM(C1158:C1162)</f>
        <v>5</v>
      </c>
      <c r="D1163" s="363"/>
      <c r="E1163" s="377"/>
      <c r="F1163" s="365"/>
      <c r="G1163" s="366"/>
      <c r="H1163" s="366"/>
      <c r="I1163" s="378"/>
      <c r="J1163" s="398">
        <f>SUM(J1158:J1162)</f>
        <v>48</v>
      </c>
      <c r="K1163" s="379"/>
      <c r="L1163" s="399"/>
      <c r="M1163" s="367"/>
      <c r="N1163" s="370"/>
      <c r="O1163" s="370"/>
      <c r="P1163" s="375"/>
      <c r="Q1163" s="375"/>
      <c r="R1163" s="375"/>
      <c r="S1163" s="382"/>
      <c r="T1163" s="383"/>
      <c r="U1163" s="383"/>
      <c r="V1163" s="383"/>
      <c r="W1163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981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53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60" t="s">
        <v>2</v>
      </c>
      <c r="S11" s="861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54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62"/>
      <c r="S12" s="863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54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956</v>
      </c>
      <c r="Q13" s="268" t="s">
        <v>956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956</v>
      </c>
      <c r="X13" s="268" t="s">
        <v>91</v>
      </c>
      <c r="Y13" s="268" t="s">
        <v>110</v>
      </c>
      <c r="AA13" s="452"/>
      <c r="AB13" s="91"/>
    </row>
    <row r="14" spans="1:34" x14ac:dyDescent="0.25">
      <c r="A14" s="854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54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55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53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64" t="s">
        <v>814</v>
      </c>
      <c r="S17" s="865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54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66"/>
      <c r="S18" s="867"/>
      <c r="T18" s="618"/>
      <c r="W18" s="665"/>
      <c r="X18" s="505"/>
    </row>
    <row r="19" spans="1:37" x14ac:dyDescent="0.25">
      <c r="A19" s="854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956</v>
      </c>
      <c r="X19" s="473"/>
    </row>
    <row r="20" spans="1:37" x14ac:dyDescent="0.25">
      <c r="A20" s="854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54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55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53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966</v>
      </c>
      <c r="I23" s="683" t="s">
        <v>902</v>
      </c>
      <c r="J23" s="499" t="s">
        <v>587</v>
      </c>
      <c r="K23" s="592"/>
      <c r="L23" s="856" t="s">
        <v>803</v>
      </c>
      <c r="M23" s="857"/>
      <c r="N23" s="656" t="s">
        <v>808</v>
      </c>
      <c r="O23" s="494" t="s">
        <v>957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54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58">
        <f>HYPERLINK("https://eu1.salesforce.com/"&amp;F24,G24)</f>
        <v>0</v>
      </c>
      <c r="M24" s="859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54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1002</v>
      </c>
      <c r="Q25" s="268" t="s">
        <v>1003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54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968</v>
      </c>
      <c r="I26" s="492" t="s">
        <v>968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54"/>
      <c r="B27" s="486" t="s">
        <v>664</v>
      </c>
      <c r="C27" s="484"/>
      <c r="D27" s="485"/>
      <c r="E27" s="582" t="s">
        <v>971</v>
      </c>
      <c r="K27" s="620" t="s">
        <v>972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55"/>
      <c r="B28" s="487" t="s">
        <v>782</v>
      </c>
      <c r="C28" s="490"/>
      <c r="D28" s="489"/>
      <c r="E28" s="118"/>
      <c r="H28" s="573" t="s">
        <v>965</v>
      </c>
      <c r="I28" s="573" t="s">
        <v>969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958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53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60" t="s">
        <v>2</v>
      </c>
      <c r="S37" s="861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54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62"/>
      <c r="S38" s="863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54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956</v>
      </c>
      <c r="Q39" s="268" t="s">
        <v>956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956</v>
      </c>
      <c r="X39" s="268" t="s">
        <v>91</v>
      </c>
      <c r="Y39" s="268" t="s">
        <v>110</v>
      </c>
      <c r="AA39" s="452"/>
      <c r="AB39" s="91"/>
    </row>
    <row r="40" spans="1:35" x14ac:dyDescent="0.25">
      <c r="A40" s="854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54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55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53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64" t="s">
        <v>814</v>
      </c>
      <c r="S43" s="865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54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66"/>
      <c r="S44" s="867"/>
      <c r="T44" s="618"/>
      <c r="W44" s="665"/>
      <c r="X44" s="505"/>
    </row>
    <row r="45" spans="1:35" x14ac:dyDescent="0.25">
      <c r="A45" s="854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956</v>
      </c>
      <c r="X45" s="473"/>
    </row>
    <row r="46" spans="1:35" x14ac:dyDescent="0.25">
      <c r="A46" s="854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54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55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53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56" t="s">
        <v>803</v>
      </c>
      <c r="M49" s="857"/>
      <c r="N49" s="656" t="s">
        <v>808</v>
      </c>
      <c r="O49" s="494" t="s">
        <v>957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54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58">
        <f>HYPERLINK("https://eu1.salesforce.com/"&amp;F50,G50)</f>
        <v>0</v>
      </c>
      <c r="M50" s="859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54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1002</v>
      </c>
      <c r="Q51" s="268" t="s">
        <v>1003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54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54"/>
      <c r="B53" s="486" t="s">
        <v>664</v>
      </c>
      <c r="C53" s="484"/>
      <c r="D53" s="485"/>
      <c r="E53" s="582" t="s">
        <v>963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55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2013-07-15T06:27:48Z</dcterms:modified>
</cp:coreProperties>
</file>