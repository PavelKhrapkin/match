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9585" yWindow="6405" windowWidth="9600" windowHeight="643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Process!$A$119:$L$122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/>
</workbook>
</file>

<file path=xl/calcChain.xml><?xml version="1.0" encoding="utf-8"?>
<calcChain xmlns="http://schemas.openxmlformats.org/spreadsheetml/2006/main">
  <c r="N34" i="1989" l="1"/>
  <c r="L94" i="1989" l="1"/>
  <c r="G94" i="1989" s="1"/>
  <c r="C95" i="1989"/>
  <c r="C94" i="1989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/>
  <c r="F95" i="1989"/>
  <c r="K95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1" i="1989"/>
  <c r="L52" i="1989" s="1"/>
  <c r="C131" i="1989"/>
  <c r="M128" i="1989"/>
  <c r="L128" i="1989"/>
  <c r="K128" i="1989"/>
  <c r="L125" i="1989"/>
  <c r="F113" i="1989"/>
  <c r="K113" i="1989" s="1"/>
  <c r="C113" i="1989"/>
  <c r="N112" i="1989"/>
  <c r="M112" i="1989"/>
  <c r="L112" i="1989"/>
  <c r="C112" i="1989"/>
  <c r="C110" i="1989"/>
  <c r="K109" i="1989"/>
  <c r="K108" i="1989"/>
  <c r="K112" i="1989" s="1"/>
  <c r="K106" i="1989"/>
  <c r="C106" i="1989"/>
  <c r="K105" i="1989"/>
  <c r="C105" i="1989"/>
  <c r="N104" i="1989"/>
  <c r="M104" i="1989"/>
  <c r="L104" i="1989"/>
  <c r="C104" i="1989"/>
  <c r="K103" i="1989"/>
  <c r="K102" i="1989"/>
  <c r="F101" i="1989"/>
  <c r="C101" i="1989"/>
  <c r="F100" i="1989"/>
  <c r="F99" i="1989"/>
  <c r="C99" i="1989"/>
  <c r="H98" i="1989"/>
  <c r="G98" i="1989"/>
  <c r="F98" i="1989"/>
  <c r="K97" i="1989"/>
  <c r="K104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1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<sst xmlns="http://schemas.openxmlformats.org/spreadsheetml/2006/main" count="3210" uniqueCount="1436">
  <si>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</si>
  <si>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</si>
  <si>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</si>
  <si>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</si>
  <si>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</si>
  <si>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</si>
  <si>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</si>
  <si>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</si>
  <si>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</si>
  <si>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</si>
  <si>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</si>
  <si>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</si>
  <si>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</si>
  <si>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</si>
  <si>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</si>
  <si>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</si>
  <si>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</si>
  <si>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</si>
  <si>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</si>
  <si>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</si>
  <si>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</si>
  <si>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</si>
  <si>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</si>
  <si>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</si>
  <si>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</si>
  <si>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</si>
  <si>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</si>
  <si>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</si>
  <si>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</si>
  <si>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</si>
  <si>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</si>
  <si>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</si>
  <si>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</si>
  <si>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</si>
  <si>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</si>
  <si>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</si>
  <si>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</si>
  <si>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</si>
  <si>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</si>
  <si>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</si>
  <si>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</si>
  <si>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</si>
  <si>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</si>
  <si>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</si>
  <si>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</si>
  <si>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</si>
  <si>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</si>
  <si>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</si>
  <si>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</si>
  <si>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</si>
  <si>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</si>
  <si>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</si>
  <si>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</si>
  <si>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</si>
  <si>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</si>
  <si>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</si>
  <si>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</si>
  <si>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</si>
  <si>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</si>
  <si>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</si>
  <si>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</si>
  <si>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</si>
  <si>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</si>
  <si>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</si>
  <si>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</si>
  <si>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</si>
  <si>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</si>
  <si>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</si>
  <si>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</si>
  <si>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</si>
  <si>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</si>
  <si>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</si>
  <si>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</si>
  <si>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</si>
  <si>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</si>
  <si>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</si>
  <si>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</si>
  <si>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</si>
  <si>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</si>
  <si>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</si>
  <si>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</si>
  <si>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</si>
  <si>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</si>
  <si>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</si>
  <si>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</si>
  <si>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</si>
  <si>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</si>
  <si>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</si>
  <si>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</si>
  <si>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</si>
  <si>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</si>
  <si>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</si>
  <si>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</si>
  <si>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</si>
  <si>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</si>
  <si>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</si>
  <si>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</si>
  <si>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</si>
  <si>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</si>
  <si>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</si>
  <si>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</si>
  <si>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</si>
  <si>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</si>
  <si>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</si>
  <si>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</si>
  <si>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</si>
  <si>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</si>
  <si>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</si>
  <si>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</si>
  <si>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</si>
  <si>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</si>
  <si>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</si>
  <si>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</si>
  <si>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</si>
  <si>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</si>
  <si>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</si>
  <si>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</si>
  <si>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</si>
  <si>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</si>
  <si>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</si>
  <si>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</si>
  <si>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</si>
  <si>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</si>
  <si>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</si>
  <si>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</si>
  <si>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</si>
  <si>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</si>
  <si>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</si>
  <si>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</si>
  <si>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</si>
  <si>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</si>
  <si>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</si>
  <si>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</si>
  <si>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</si>
  <si>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</si>
  <si>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</si>
  <si>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</si>
  <si>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</si>
  <si>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</si>
  <si>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</si>
  <si>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</si>
  <si>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</si>
  <si>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</si>
  <si>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</si>
  <si>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</si>
  <si>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</si>
  <si>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</si>
  <si>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</si>
  <si>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</si>
  <si>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</si>
  <si>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</si>
  <si>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</si>
  <si>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</si>
  <si>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</si>
  <si>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</si>
  <si>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</si>
  <si>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</si>
  <si>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</si>
  <si>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</si>
  <si>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</si>
  <si>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</si>
  <si>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</si>
  <si>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</si>
  <si>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</si>
  <si>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</si>
  <si>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</si>
  <si>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</si>
  <si>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</si>
  <si>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</si>
  <si>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</si>
  <si>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</si>
  <si>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</si>
  <si>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</si>
  <si>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</si>
  <si>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</si>
  <si>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</si>
  <si>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</si>
  <si>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</si>
  <si>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</si>
  <si>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</si>
  <si>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</si>
  <si>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</si>
  <si>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</si>
  <si>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</si>
  <si>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</si>
  <si>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</si>
  <si>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</si>
  <si>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</si>
  <si>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</si>
  <si>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</si>
  <si>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</si>
  <si>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</si>
  <si>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</si>
  <si>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</si>
  <si>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</si>
  <si>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</si>
  <si>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</si>
  <si>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</si>
  <si>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</si>
  <si>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</si>
  <si>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</si>
  <si>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</si>
  <si>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</si>
  <si>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</si>
  <si>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</si>
  <si>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</si>
  <si>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</si>
  <si>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</si>
  <si>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</si>
  <si>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</si>
  <si>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</si>
  <si>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</si>
  <si>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</si>
  <si>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</si>
  <si>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</si>
  <si>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</si>
  <si>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</si>
  <si>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</si>
  <si>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</si>
  <si>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</si>
  <si>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</si>
  <si>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</si>
  <si>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</si>
  <si>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</si>
  <si>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</si>
  <si>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</si>
  <si>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</si>
  <si>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</si>
  <si>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</si>
  <si>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</si>
  <si>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</si>
  <si>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</si>
  <si>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</si>
  <si>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</si>
  <si>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</si>
  <si>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</si>
  <si>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</si>
  <si>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</si>
  <si>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</si>
  <si>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</si>
  <si>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</si>
  <si>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</si>
  <si>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</si>
  <si>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</si>
  <si>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</si>
  <si>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</si>
  <si>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</si>
  <si>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</si>
  <si>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</si>
  <si>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</si>
  <si>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</si>
  <si>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</si>
  <si>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</si>
  <si>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</si>
  <si>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</si>
  <si>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</si>
  <si>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</si>
  <si>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</si>
  <si>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</si>
  <si>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</si>
  <si>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</si>
  <si>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</si>
  <si>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</si>
  <si>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</si>
  <si>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</si>
  <si>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</si>
  <si>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</si>
  <si>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</si>
  <si>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</si>
  <si>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</si>
  <si>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</si>
  <si>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</si>
  <si>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</si>
  <si>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</si>
  <si>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</si>
  <si>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</si>
  <si>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</si>
  <si>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</si>
  <si>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</si>
  <si>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</si>
  <si>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</si>
  <si>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</si>
  <si>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</si>
  <si>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</si>
  <si>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</si>
  <si>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</si>
  <si>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</si>
  <si>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</si>
  <si>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</si>
  <si>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</si>
  <si>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</si>
  <si>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</si>
  <si>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</si>
  <si>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</si>
  <si>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</si>
  <si>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</si>
  <si>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</si>
  <si>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</si>
  <si>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</si>
  <si>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</si>
  <si>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</si>
  <si>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</si>
  <si>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</si>
  <si>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</si>
  <si>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</si>
  <si>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</si>
  <si>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</si>
  <si>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</si>
  <si>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</si>
  <si>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</si>
  <si>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</si>
  <si>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</si>
  <si>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</si>
  <si>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</si>
  <si>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</si>
  <si>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</si>
  <si>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</si>
  <si>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</si>
  <si>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</si>
  <si>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</si>
  <si>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</si>
  <si>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</si>
  <si>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</si>
  <si>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</si>
  <si>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</si>
  <si>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</si>
  <si>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</si>
  <si>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</si>
  <si>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</si>
  <si>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</si>
  <si>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</si>
  <si>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</si>
  <si>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</si>
  <si>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</si>
  <si>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</si>
  <si>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</si>
  <si>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</si>
  <si>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</si>
  <si>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</si>
  <si>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</si>
  <si>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</si>
  <si>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</si>
  <si>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</si>
  <si>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</si>
  <si>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</si>
  <si>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</si>
  <si>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</si>
  <si>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</si>
  <si>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</si>
  <si>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</si>
  <si>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</si>
  <si>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</si>
  <si>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</si>
  <si>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</si>
  <si>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</si>
  <si>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</si>
  <si>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</si>
  <si>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</si>
  <si>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</si>
  <si>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</si>
  <si>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</si>
  <si>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</si>
  <si>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</si>
  <si>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</si>
  <si>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</si>
  <si>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</si>
  <si>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</si>
  <si>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</si>
  <si>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</si>
  <si>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</si>
  <si>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</si>
  <si>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</si>
  <si>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</si>
  <si>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</si>
  <si>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</si>
  <si>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</si>
  <si>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</si>
  <si>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</si>
  <si>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</si>
  <si>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</si>
  <si>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</si>
  <si>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</si>
  <si>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</si>
  <si>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</si>
  <si>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</si>
  <si>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</si>
  <si>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</si>
  <si>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</si>
  <si>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</si>
  <si>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</si>
  <si>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</si>
  <si>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</si>
  <si>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</si>
  <si>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</si>
  <si>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</si>
  <si>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</si>
  <si>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</si>
  <si>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</si>
  <si>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</si>
  <si>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</si>
  <si>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</si>
  <si>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</si>
  <si>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</si>
  <si>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</si>
  <si>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</si>
  <si>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</si>
  <si>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</si>
  <si>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</si>
  <si>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</si>
  <si>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</si>
  <si>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</si>
  <si>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</si>
  <si>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</si>
  <si>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</si>
  <si>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</si>
  <si>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</si>
  <si>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</si>
  <si>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</si>
  <si>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</si>
  <si>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</si>
  <si>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</si>
  <si>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</si>
  <si>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</si>
  <si>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</si>
  <si>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</si>
  <si>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</si>
  <si>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</si>
  <si>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</si>
  <si>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</si>
  <si>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</si>
  <si>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</si>
  <si>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</si>
  <si>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</si>
  <si>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</si>
  <si>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</si>
  <si>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</si>
  <si>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</si>
  <si>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</si>
  <si>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</si>
  <si>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</si>
  <si>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</si>
  <si>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</si>
  <si>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</si>
  <si>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</si>
  <si>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</si>
  <si>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</si>
  <si>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</si>
  <si>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</si>
  <si>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</si>
  <si>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</si>
  <si>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</si>
  <si>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</si>
  <si>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</si>
  <si>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</si>
  <si>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</si>
  <si>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</si>
  <si>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</si>
  <si>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</si>
  <si>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</si>
  <si>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</si>
  <si>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</si>
  <si>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</si>
  <si>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</si>
  <si>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</si>
  <si>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</si>
  <si>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</si>
  <si>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</si>
  <si>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</si>
  <si>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</si>
  <si>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</si>
  <si>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</si>
  <si>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</si>
  <si>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</si>
  <si>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</si>
  <si>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</si>
  <si>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</si>
  <si>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</si>
  <si>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</si>
  <si>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</si>
  <si>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</si>
  <si>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</si>
  <si>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</si>
  <si>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</si>
  <si>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</si>
  <si>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</si>
  <si>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</si>
  <si>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</si>
  <si>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</si>
  <si>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</si>
  <si>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</si>
  <si>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</si>
  <si>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</si>
  <si>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</si>
  <si>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</si>
  <si>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</si>
  <si>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</si>
  <si>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</si>
  <si>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</si>
  <si>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</si>
  <si>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</si>
  <si>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</si>
  <si>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</si>
  <si>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</si>
  <si>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</si>
  <si>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</si>
  <si>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</si>
  <si>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</si>
  <si>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</si>
  <si>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</si>
  <si>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</si>
  <si>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</si>
  <si>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</si>
  <si>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</si>
  <si>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</si>
  <si>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</si>
  <si>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</si>
  <si>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</si>
  <si>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</si>
  <si>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</si>
  <si>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</si>
  <si>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</si>
  <si>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</si>
  <si>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</si>
  <si>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</si>
  <si>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</si>
  <si>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</si>
  <si>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</si>
  <si>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</si>
  <si>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</si>
  <si>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</si>
  <si>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</si>
  <si>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</si>
  <si>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</si>
  <si>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</si>
  <si>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</si>
  <si>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</si>
  <si>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</si>
  <si>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</si>
  <si>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</si>
  <si>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</si>
  <si>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</si>
  <si>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</si>
  <si>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</si>
  <si>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</si>
  <si>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</si>
  <si>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</si>
  <si>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</si>
  <si>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</si>
  <si>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</si>
  <si>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</si>
  <si>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</si>
  <si>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</si>
  <si>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</si>
  <si>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</si>
  <si>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</si>
  <si>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</si>
  <si>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</si>
  <si>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</si>
  <si>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</si>
  <si>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</si>
  <si>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</si>
  <si>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</si>
  <si>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</si>
  <si>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</si>
  <si>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</si>
  <si>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</si>
  <si>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</si>
  <si>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</si>
  <si>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</si>
  <si>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</si>
  <si>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</si>
  <si>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</si>
  <si>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</si>
  <si>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</si>
  <si>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</si>
  <si>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</si>
  <si>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</si>
  <si>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</si>
  <si>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</si>
  <si>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</si>
  <si>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</si>
  <si>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</si>
  <si>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</si>
  <si>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</si>
  <si>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</si>
  <si>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</si>
  <si>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</si>
  <si>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</si>
  <si>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</si>
  <si>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</si>
  <si>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</si>
  <si>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</si>
  <si>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</si>
  <si>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</si>
  <si>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</si>
  <si>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</si>
  <si>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</si>
  <si>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</si>
  <si>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</si>
  <si>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</si>
  <si>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</si>
  <si>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</si>
  <si>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</si>
  <si>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</si>
  <si>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</si>
  <si>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</si>
  <si>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</si>
  <si>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</si>
  <si>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</si>
  <si>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</si>
  <si>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</si>
  <si>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</si>
  <si>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</si>
  <si>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</si>
  <si>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</si>
  <si>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</si>
  <si>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</si>
  <si>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</si>
  <si>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</si>
  <si>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</si>
  <si>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</si>
  <si>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</si>
  <si>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</si>
  <si>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</si>
  <si>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</si>
  <si>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</si>
  <si>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</si>
  <si>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</si>
  <si>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</si>
  <si>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</si>
  <si>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</si>
  <si>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</si>
  <si>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</si>
  <si>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</si>
  <si>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</si>
  <si>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</si>
  <si>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</si>
  <si>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</si>
  <si>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</si>
  <si>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</si>
  <si>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</si>
  <si>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</si>
  <si>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</si>
  <si>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</si>
  <si>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</si>
  <si>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</si>
  <si>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</si>
  <si>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</si>
  <si>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</si>
  <si>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</si>
  <si>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</si>
  <si>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</si>
  <si>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</si>
  <si>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</si>
  <si>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</si>
  <si>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</si>
  <si>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</si>
  <si>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</si>
  <si>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</si>
  <si>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</si>
  <si>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</si>
  <si>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</si>
  <si>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</si>
  <si>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</si>
  <si>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</si>
  <si>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</si>
  <si>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</si>
  <si>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</si>
  <si>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</si>
  <si>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</si>
  <si>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</si>
  <si>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</si>
  <si>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</si>
  <si>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</si>
  <si>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</si>
  <si>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</si>
  <si>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</si>
  <si>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</si>
  <si>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</si>
  <si>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</si>
  <si>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</si>
  <si>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</si>
  <si>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</si>
  <si>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</si>
  <si>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</si>
  <si>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</si>
  <si>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</si>
  <si>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</si>
  <si>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</si>
  <si>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</si>
  <si>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</si>
  <si>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</si>
  <si>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</si>
  <si>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</si>
  <si>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</si>
  <si>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</si>
  <si>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</si>
  <si>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</si>
  <si>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</si>
  <si>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</si>
  <si>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</si>
  <si>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</si>
  <si>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</si>
  <si>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</si>
  <si>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</si>
  <si>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</si>
  <si>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</si>
  <si>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</si>
  <si>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</si>
  <si>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</si>
  <si>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</si>
  <si>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</si>
  <si>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</si>
  <si>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</si>
  <si>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</si>
  <si>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</si>
  <si>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</si>
  <si>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</si>
  <si>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</si>
  <si>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</si>
  <si>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</si>
  <si>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</si>
  <si>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</si>
  <si>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</si>
  <si>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</si>
  <si>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</si>
  <si>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</si>
  <si>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</si>
  <si>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</si>
  <si>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</si>
  <si>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</si>
  <si>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</si>
  <si>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</si>
  <si>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</si>
  <si>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</si>
  <si>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</si>
  <si>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</si>
  <si>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</si>
  <si>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</si>
  <si>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</si>
  <si>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</si>
  <si>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</si>
  <si>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</si>
  <si>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</si>
  <si>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</si>
  <si>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</si>
  <si>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</si>
  <si>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</si>
  <si>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</si>
  <si>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</si>
  <si>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</si>
  <si>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</si>
  <si>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</si>
  <si>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</si>
  <si>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</si>
  <si>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</si>
  <si>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</si>
  <si>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</si>
  <si>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</si>
  <si>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</si>
  <si>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</si>
  <si>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</si>
  <si>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</si>
  <si>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</si>
  <si>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</si>
  <si>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</si>
  <si>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</si>
  <si>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</si>
  <si>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</si>
  <si>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</si>
  <si>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</si>
  <si>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</si>
  <si>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</si>
  <si>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</si>
  <si>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</si>
  <si>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</si>
  <si>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</si>
  <si>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</si>
  <si>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</si>
  <si>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</si>
  <si>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</si>
  <si>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</si>
  <si>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</si>
  <si>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</si>
  <si>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</si>
  <si>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</si>
  <si>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</si>
  <si>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</si>
  <si>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</si>
  <si>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</si>
  <si>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</si>
  <si>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</si>
  <si>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</si>
  <si>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</si>
  <si>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</si>
  <si>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</si>
  <si>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</si>
  <si>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</si>
  <si>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</si>
  <si>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</si>
  <si>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</si>
  <si>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</si>
  <si>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</si>
  <si>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</si>
  <si>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</si>
  <si>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</si>
  <si>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</si>
  <si>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</si>
  <si>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</si>
  <si>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</si>
  <si>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</si>
  <si>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</si>
  <si>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</si>
  <si>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</si>
  <si>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</si>
  <si>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</si>
  <si>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</si>
  <si>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</si>
  <si>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</si>
  <si>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</si>
  <si>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</si>
  <si>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</si>
  <si>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</si>
  <si>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</si>
  <si>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</si>
  <si>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</si>
  <si>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</si>
  <si>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</si>
  <si>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</si>
  <si>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</si>
  <si>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</si>
  <si>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</si>
  <si>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</si>
  <si>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</si>
  <si>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</si>
  <si>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</si>
  <si>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</si>
  <si>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</si>
  <si>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</si>
  <si>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</si>
  <si>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</si>
  <si>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</si>
  <si>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</si>
  <si>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</si>
  <si>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</si>
  <si>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</si>
  <si>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</si>
  <si>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</si>
  <si>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</si>
  <si>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</si>
  <si>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</si>
  <si>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</si>
  <si>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</si>
  <si>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</si>
  <si>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</si>
  <si>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</si>
  <si>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</si>
  <si>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</si>
  <si>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</si>
  <si>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</si>
  <si>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</si>
  <si>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</si>
  <si>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</si>
  <si>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</si>
  <si>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</si>
  <si>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</si>
  <si>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</si>
  <si>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</si>
  <si>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</si>
  <si>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</si>
  <si>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</si>
  <si>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</si>
  <si>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</si>
  <si>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</si>
  <si>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</si>
  <si>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</si>
  <si>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</si>
  <si>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</si>
  <si>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</si>
  <si>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</si>
  <si>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</si>
  <si>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</si>
  <si>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</si>
  <si>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</si>
  <si>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</si>
  <si>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</si>
  <si>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</si>
  <si>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</si>
  <si>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</si>
  <si>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</si>
  <si>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</si>
  <si>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</si>
  <si>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</si>
  <si>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</si>
  <si>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</si>
  <si>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</si>
  <si>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</si>
  <si>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</si>
  <si>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</si>
  <si>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</si>
  <si>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</si>
  <si>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</si>
  <si>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</si>
  <si>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</si>
  <si>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</si>
  <si>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</si>
  <si>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</si>
  <si>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</si>
  <si>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</si>
  <si>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</si>
  <si>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</si>
  <si>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</si>
  <si>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</si>
  <si>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</si>
  <si>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</si>
  <si>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</si>
  <si>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</si>
  <si>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</si>
  <si>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</si>
  <si>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</si>
  <si>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</si>
  <si>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</si>
  <si>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</si>
  <si>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</si>
  <si>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</si>
  <si>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</si>
  <si>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</si>
  <si>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</si>
  <si>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</si>
  <si>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</si>
  <si>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</si>
  <si>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</si>
  <si>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</si>
  <si>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</si>
  <si>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</si>
  <si>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</si>
  <si>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</si>
  <si>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</si>
  <si>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</si>
  <si>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</si>
  <si>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</si>
  <si>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</si>
  <si>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</si>
  <si>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</si>
  <si>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</si>
  <si>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</si>
  <si>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</si>
  <si>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</si>
  <si>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</si>
  <si>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</si>
  <si>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</si>
  <si>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</si>
  <si>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</si>
  <si>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</si>
  <si>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</si>
  <si>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</si>
  <si>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</si>
  <si>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</si>
  <si>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</si>
  <si>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</si>
  <si>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</si>
  <si>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</si>
  <si>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</si>
  <si>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</si>
  <si>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</si>
  <si>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</si>
  <si>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</si>
  <si>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</si>
  <si>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</si>
  <si>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</si>
  <si>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</si>
  <si>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</si>
  <si>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</si>
  <si>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</si>
  <si>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</si>
  <si>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</si>
  <si>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</si>
  <si>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</si>
  <si>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</si>
  <si>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</si>
  <si>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</si>
  <si>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</si>
  <si>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</si>
  <si>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</si>
  <si>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</si>
  <si>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</si>
  <si>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</si>
  <si>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</si>
  <si>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</si>
  <si>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</si>
  <si>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</si>
  <si>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</si>
  <si>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</si>
  <si>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</si>
  <si>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</si>
  <si>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</si>
  <si>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</si>
  <si>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</si>
  <si>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</si>
  <si>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</si>
  <si>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</si>
  <si>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</si>
  <si>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</si>
  <si>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</si>
  <si>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</si>
  <si>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</si>
  <si>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</si>
  <si>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</si>
  <si>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</si>
  <si>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</si>
  <si>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</si>
  <si>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</si>
  <si>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</si>
  <si>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</si>
  <si>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</si>
  <si>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</si>
  <si>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</si>
  <si>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</si>
  <si>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</si>
  <si>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</si>
  <si>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</si>
  <si>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</si>
  <si>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</si>
  <si>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</si>
  <si>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</si>
  <si>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</si>
  <si>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</si>
  <si>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</si>
  <si>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</si>
  <si>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</si>
  <si>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</si>
  <si>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</si>
  <si>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</si>
  <si>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</si>
  <si>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</si>
  <si>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</si>
  <si>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</si>
  <si>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</si>
  <si>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</si>
  <si>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</si>
  <si>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</si>
  <si>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</si>
  <si>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</si>
  <si>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</si>
  <si>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</si>
  <si>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</si>
  <si>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</si>
  <si>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</si>
  <si>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</si>
  <si>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</si>
  <si>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</si>
  <si>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</si>
  <si>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</si>
  <si>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</si>
  <si>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</si>
  <si>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</si>
  <si>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</si>
  <si>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</si>
  <si>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</si>
  <si>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</si>
  <si>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</si>
  <si>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</si>
  <si>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</si>
  <si>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</si>
  <si>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</si>
  <si>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</si>
  <si>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</si>
  <si>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</si>
  <si>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</si>
  <si>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</si>
  <si>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</si>
  <si>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</si>
  <si>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</si>
  <si>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</si>
  <si>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</si>
  <si>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</si>
  <si>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</si>
  <si>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</si>
  <si>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</si>
  <si>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</si>
  <si>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</si>
  <si>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</si>
  <si>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</si>
  <si>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</si>
  <si>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</si>
  <si>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</si>
  <si>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</si>
  <si>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</si>
  <si>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</si>
  <si>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</si>
  <si>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</si>
  <si>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</si>
  <si>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</si>
  <si>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</si>
  <si>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</si>
  <si>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</si>
  <si>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</si>
  <si>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</si>
  <si>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</si>
  <si>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</si>
  <si>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</si>
  <si>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</si>
  <si>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</si>
  <si>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</si>
  <si>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</si>
  <si>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</si>
  <si>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</si>
  <si>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</si>
  <si>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</si>
  <si>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</si>
  <si>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</si>
  <si>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</si>
  <si>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</si>
  <si>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</si>
  <si>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</si>
  <si>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</si>
  <si>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</si>
  <si>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</si>
  <si>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</si>
  <si>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</si>
  <si>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</si>
  <si>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</si>
  <si>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</si>
  <si>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</si>
  <si>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</si>
  <si>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</si>
  <si>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</si>
  <si>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</si>
  <si>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</si>
  <si>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</si>
  <si>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</si>
  <si>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</si>
  <si>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</si>
  <si>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</si>
  <si>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</si>
  <si>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</si>
  <si>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</si>
  <si>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</si>
  <si>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</si>
  <si>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</si>
  <si>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</si>
  <si>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</si>
  <si>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</si>
  <si>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</si>
  <si>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</si>
  <si>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</si>
  <si>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</si>
  <si>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</si>
  <si>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</si>
  <si>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</si>
  <si>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</si>
  <si>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</si>
  <si>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</si>
  <si>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</si>
  <si>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</si>
  <si>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</si>
  <si>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</si>
  <si>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</si>
  <si>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</si>
  <si>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</si>
  <si>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</si>
  <si>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</si>
  <si>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</si>
  <si>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</si>
  <si>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</si>
  <si>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</si>
  <si>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</si>
  <si>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UniqueHandle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</si>
  <si>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</si>
  <si>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</si>
  <si>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</si>
  <si>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</si>
  <si>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</si>
  <si>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</si>
  <si>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</si>
  <si>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</si>
  <si>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</si>
  <si>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</si>
  <si>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</si>
  <si>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</si>
  <si>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</si>
  <si>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</si>
  <si>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</si>
  <si>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</si>
  <si>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</si>
  <si>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</si>
  <si>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</si>
  <si>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</si>
  <si>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</si>
  <si>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</si>
  <si>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</si>
  <si>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</si>
  <si>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</si>
  <si>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</si>
  <si>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</si>
  <si>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</si>
  <si>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</si>
  <si>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</si>
  <si>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</si>
  <si>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</si>
  <si>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</si>
  <si>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</si>
  <si>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</si>
  <si>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</si>
  <si>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</si>
  <si>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</si>
  <si>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</si>
  <si>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</si>
  <si>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</si>
  <si>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</si>
  <si>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</si>
  <si>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</si>
  <si>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</si>
  <si>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</si>
  <si>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</si>
  <si>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</si>
  <si>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</si>
  <si>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</si>
  <si>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</si>
  <si>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</si>
  <si>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</si>
  <si>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</si>
  <si>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</si>
  <si>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</si>
  <si>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</si>
  <si>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</si>
  <si>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</si>
  <si>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</si>
  <si>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</si>
  <si>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</si>
  <si>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</si>
  <si>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</si>
  <si>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</si>
  <si>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</si>
  <si>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</si>
  <si>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</si>
  <si>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</si>
  <si>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</si>
  <si>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</si>
  <si>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</si>
  <si>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</si>
  <si>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</si>
  <si>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</si>
  <si>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</si>
  <si>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</si>
  <si>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</si>
  <si>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</si>
  <si>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</si>
  <si>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</si>
  <si>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</si>
  <si>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</si>
  <si>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</si>
  <si>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</si>
  <si>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</si>
  <si>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</si>
  <si>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</si>
  <si>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</si>
  <si>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</si>
  <si>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</si>
  <si>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</si>
  <si>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</si>
  <si>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</si>
  <si>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</si>
  <si>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</si>
  <si>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</si>
  <si>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</si>
  <si>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</si>
  <si>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</si>
  <si>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</si>
  <si>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</si>
  <si>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</si>
  <si>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</si>
  <si>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</si>
  <si>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</si>
  <si>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</si>
  <si>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</si>
  <si>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</si>
  <si>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</si>
  <si>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</si>
  <si>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</si>
  <si>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</si>
  <si>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</si>
  <si>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</si>
  <si>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</si>
  <si>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</si>
  <si>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</si>
  <si>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</si>
  <si>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</si>
  <si>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</si>
  <si>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</si>
  <si>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</si>
  <si>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</si>
  <si>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</si>
  <si>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</si>
  <si>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</si>
  <si>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</si>
  <si>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</si>
  <si>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</si>
  <si>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</si>
  <si>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</si>
  <si>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</si>
  <si>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</si>
  <si>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</si>
  <si>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</si>
  <si>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</si>
  <si>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</si>
  <si>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</si>
  <si>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</si>
  <si>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</si>
  <si>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</si>
  <si>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</si>
  <si>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</si>
  <si>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</si>
  <si>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</si>
  <si>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</si>
  <si>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</si>
  <si>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</si>
  <si>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</si>
  <si>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</si>
  <si>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</si>
  <si>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</si>
  <si>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</si>
  <si>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</si>
  <si>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</si>
  <si>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</si>
  <si>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</si>
  <si>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</si>
  <si>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</si>
  <si>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</si>
  <si>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</si>
  <si>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</si>
  <si>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</si>
  <si>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</si>
  <si>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</si>
  <si>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</si>
  <si>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</si>
  <si>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</si>
  <si>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</si>
  <si>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</si>
  <si>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</si>
  <si>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</si>
  <si>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</si>
  <si>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</si>
  <si>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</si>
  <si>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</si>
  <si>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</si>
  <si>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</si>
  <si>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</si>
  <si>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</si>
  <si>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</si>
  <si>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</si>
  <si>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</si>
  <si>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</si>
  <si>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</si>
  <si>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</si>
  <si>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</si>
  <si>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</si>
  <si>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</si>
  <si>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</si>
  <si>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</si>
  <si>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</si>
  <si>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</si>
  <si>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</si>
  <si>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</si>
  <si>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</si>
  <si>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</si>
  <si>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</si>
  <si>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</si>
  <si>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</si>
  <si>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</si>
  <si>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</si>
  <si>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</si>
  <si>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</si>
  <si>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</si>
  <si>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</si>
  <si>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</si>
  <si>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</si>
  <si>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</si>
  <si>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</si>
  <si>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</si>
  <si>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</si>
  <si>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</si>
  <si>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</si>
  <si>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</si>
  <si>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</si>
  <si>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</si>
  <si>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</si>
  <si>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</si>
  <si>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</si>
  <si>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</si>
  <si>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</si>
  <si>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</si>
  <si>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</si>
  <si>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</si>
  <si>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</si>
  <si>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</si>
  <si>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</si>
  <si>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</si>
  <si>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</si>
  <si>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</si>
  <si>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</si>
  <si>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</si>
  <si>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</si>
  <si>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</si>
  <si>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</si>
  <si>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</si>
  <si>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</si>
  <si>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</si>
  <si>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</si>
  <si>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</si>
  <si>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</si>
  <si>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</si>
  <si>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</si>
  <si>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</si>
  <si>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</si>
  <si>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</si>
  <si>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</si>
  <si>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</si>
  <si>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</si>
  <si>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</si>
  <si>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</si>
  <si>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</si>
  <si>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</si>
  <si>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</si>
  <si>
    <t>D:\Pavel\match\DBs\</t>
  </si>
  <si>
    <t>MoveToMatch: В файл 'SFDC.xlsx' загружен новый отчет 'ADSKfrSF'; EOL=1955 строк, в прежнем 1954</t>
  </si>
  <si>
    <t>adapt profile: total = 18,42_x000D_
By steps =  11,76 0,11</t>
  </si>
  <si>
    <t>adapt profile: total = 59,79_x000D_
By steps =  5,78 0,01 11,40 3,13 0,04 0,02 0,02 0,04 0,01 0,03 0,01 0,02 0,03 0,03 0,03 0,02 0,02 0,02 0,02 0,03 0,00 0,02 0,02 0,02 0,02 0,02 0,02 0,01 0,01 0,68 4,52 3,21 3,01 3,13 3,28 6,54 6,27</t>
  </si>
  <si>
    <t>MoveToMatch: В файл 'SFDC.xlsx' загружен новый отчет 'ADSKfrSF'; EOL=2011 строк, в прежнем 1955</t>
  </si>
  <si>
    <t>MoveToMatch: В файл 'SFDC.xlsx' загружен новый отчет 'ADSKfrSF'; EOL=2059 строк, в прежнем 2011</t>
  </si>
  <si>
    <t>MoveToMatch: В файл 'Stock.xlsx' загружен новый отчет 'Заказы'; EOL=229 строк, в прежнем 1673</t>
  </si>
  <si>
    <t>adapt profile: total = 1,73_x000D_
By steps =  0,26 0,20 0,13 0,20 0,00 0,18 0,21 0,11 0,13 0,00 0,00 0,00 0,00 0,00 0,00 0,00 0,00 0,00 0,00 0,00 0,00 0,00 0,00 0,00 0,00 0,00 0,00 0,00 0,00 0,00 0,00 0,00 0,00 0,00 0,00 0,00</t>
  </si>
  <si>
    <t>MoveToMatch: В файл 'SFDC.xlsx' загружен новый отчет 'SForders'; EOL=771 строк, в прежнем 763</t>
  </si>
  <si>
    <t>adapt profile: total = 1,82_x000D_
By steps =  0,30 0,20 0,14 0,21 0,00 0,21 0,20 0,15 0,15 0,00 0,00 0,00 0,00 0,00 0,00 0,00 0,00 0,00 0,00 0,00 0,00 0,00 0,00 0,00 0,00 0,00 0,00 0,00 0,00 0,00 0,00 0,00 0,00 0,00 0,00 0,00</t>
  </si>
  <si>
    <t>MoveToMatch: В файл 'Stock.xlsx' загружен новый отчет 'Заказы'; EOL=229 строк, в прежнем 229</t>
  </si>
  <si>
    <t>adapt profile: total = 1,96_x000D_
By steps =  0,21 0,25 0,16 0,29 0,00 0,17 0,19 0,20 0,18 0,00 0,00 0,00 0,00 0,00 0,00 0,00 0,00 0,00 0,00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</si>
</sst>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  <xf numFmtId="0" fontId="249" fillId="0" borderId="0"/>
  </cellStyleXfs>
  <cellXfs count="869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68" fontId="0" fillId="11" borderId="107" xfId="0" applyNumberFormat="1" applyFill="1" applyBorder="1" applyAlignment="1">
      <alignment horizontal="center"/>
    </xf>
    <xf numFmtId="169" fontId="0" fillId="0" borderId="107" xfId="0" applyBorder="1"/>
    <xf numFmtId="49" fontId="0" fillId="0" borderId="107" xfId="0" applyNumberFormat="1" applyFill="1" applyBorder="1" applyAlignment="1">
      <alignment horizontal="center"/>
    </xf>
    <xf numFmtId="169" fontId="0" fillId="52" borderId="107" xfId="0" applyFill="1" applyBorder="1"/>
    <xf numFmtId="169" fontId="0" fillId="38" borderId="107" xfId="0" applyFill="1" applyBorder="1"/>
    <xf numFmtId="169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68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69" fontId="0" fillId="63" borderId="47" xfId="0" applyFill="1" applyBorder="1"/>
    <xf numFmtId="169" fontId="0" fillId="63" borderId="0" xfId="0" applyFill="1" applyBorder="1"/>
    <xf numFmtId="0" fontId="1" fillId="5" borderId="0" xfId="731" applyFill="1" applyAlignment="1">
      <alignment horizontal="center"/>
    </xf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8" fontId="0" fillId="8" borderId="31" xfId="0" applyNumberFormat="1" applyFill="1" applyBorder="1" applyAlignment="1">
      <alignment horizontal="center"/>
    </xf>
    <xf numFmtId="168" fontId="0" fillId="8" borderId="47" xfId="0" applyNumberFormat="1" applyFill="1" applyBorder="1"/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68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69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69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69" fontId="254" fillId="5" borderId="77" xfId="709" applyFont="1" applyFill="1" applyBorder="1" applyAlignment="1">
      <alignment horizontal="left" vertical="center" wrapText="1"/>
    </xf>
    <xf numFmtId="175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69" fontId="268" fillId="5" borderId="0" xfId="0" applyFont="1" applyFill="1"/>
    <xf numFmtId="169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69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5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69" fontId="319" fillId="39" borderId="77" xfId="709" applyFont="1" applyFill="1" applyBorder="1" applyAlignment="1">
      <alignment horizontal="center" vertic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69" fontId="314" fillId="0" borderId="0" xfId="0" applyFont="1"/>
    <xf numFmtId="169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69" fontId="268" fillId="52" borderId="0" xfId="0" applyFont="1" applyFill="1"/>
    <xf numFmtId="169" fontId="0" fillId="52" borderId="0" xfId="0" applyFill="1"/>
    <xf numFmtId="169" fontId="268" fillId="52" borderId="41" xfId="0" applyFont="1" applyFill="1" applyBorder="1"/>
    <xf numFmtId="49" fontId="314" fillId="0" borderId="0" xfId="0" applyNumberFormat="1" applyFont="1"/>
    <xf numFmtId="169" fontId="0" fillId="37" borderId="0" xfId="0" quotePrefix="1" applyFill="1"/>
    <xf numFmtId="169" fontId="0" fillId="52" borderId="109" xfId="0" applyFill="1" applyBorder="1"/>
    <xf numFmtId="1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topLeftCell="A7"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41407.724814814814</v>
      </c>
      <c r="C1" s="124" t="s">
        <v>572</v>
      </c>
      <c r="J1" s="455" t="s">
        <v>1424</v>
      </c>
      <c r="K1" s="166"/>
      <c r="L1" s="57"/>
      <c r="M1" s="57"/>
      <c r="N1" s="57"/>
      <c r="O1" s="842" t="s">
        <v>581</v>
      </c>
      <c r="P1" s="842" t="s">
        <v>824</v>
      </c>
      <c r="Q1" s="842"/>
      <c r="R1" s="842"/>
      <c r="S1" s="842"/>
    </row>
    <row r="2" spans="1:23" ht="20.25" customHeight="1" x14ac:dyDescent="0.25">
      <c r="O2" s="843"/>
      <c r="P2" s="843"/>
      <c r="Q2" s="843"/>
      <c r="R2" s="843"/>
      <c r="S2" s="843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41407.647627314815</v>
      </c>
      <c r="B8" s="135" t="s">
        <v>550</v>
      </c>
      <c r="C8" s="140">
        <v>5682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41402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41404.026469907411</v>
      </c>
      <c r="B10" t="s">
        <v>555</v>
      </c>
      <c r="C10" s="144">
        <v>1305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41402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41403.993645833332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41407.64671296296</v>
      </c>
      <c r="B14" s="135" t="s">
        <v>557</v>
      </c>
      <c r="C14" s="140">
        <v>4588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41407.645138888889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41404.026377314818</v>
      </c>
      <c r="B15" t="s">
        <v>560</v>
      </c>
      <c r="C15" s="144">
        <v>1082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41404.025694444441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41404.025879629633</v>
      </c>
      <c r="B16" t="s">
        <v>562</v>
      </c>
      <c r="C16" s="144">
        <v>3401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41404.022916666669</v>
      </c>
      <c r="O16" s="137"/>
      <c r="Q16" s="137"/>
    </row>
    <row r="17" spans="1:20" ht="15.75" x14ac:dyDescent="0.3">
      <c r="A17" s="247">
        <v>41403.992349537039</v>
      </c>
      <c r="B17" t="s">
        <v>136</v>
      </c>
      <c r="C17" s="144">
        <v>4173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41403.990277777775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41407.713506944441</v>
      </c>
      <c r="B19" t="s">
        <v>567</v>
      </c>
      <c r="C19" s="144">
        <v>2059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41407.712500000001</v>
      </c>
      <c r="O19" s="137"/>
      <c r="Q19" s="137"/>
    </row>
    <row r="20" spans="1:20" ht="15.75" x14ac:dyDescent="0.3">
      <c r="A20" s="247">
        <v>41403.993831018517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41403.993055555555</v>
      </c>
      <c r="O20" s="137"/>
      <c r="Q20" s="137"/>
    </row>
    <row r="21" spans="1:20" ht="15.75" x14ac:dyDescent="0.3">
      <c r="A21" s="247">
        <v>41402.721932870372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41402.72152777778</v>
      </c>
      <c r="O21" s="137"/>
      <c r="Q21" s="137"/>
    </row>
    <row r="22" spans="1:20" ht="15.75" x14ac:dyDescent="0.3">
      <c r="A22" s="247">
        <v>41407.720023148147</v>
      </c>
      <c r="B22" t="s">
        <v>570</v>
      </c>
      <c r="C22" s="144">
        <v>771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41407.719444444447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4">
        <v>41407.724814814814</v>
      </c>
      <c r="B29" s="287" t="s">
        <v>590</v>
      </c>
      <c r="C29" s="288">
        <v>229</v>
      </c>
      <c r="D29" s="522">
        <v>8</v>
      </c>
      <c r="E29" s="522">
        <v>19</v>
      </c>
      <c r="F29" s="287" t="s">
        <v>1110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41407.718831018516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/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41398.850706018522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41404.037916666668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41404.037881944445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41403.996469907404</v>
      </c>
      <c r="B44" s="148" t="s">
        <v>667</v>
      </c>
      <c r="C44" s="274">
        <v>4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41403.996458333335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41407.724814814814</v>
      </c>
      <c r="B47" s="148" t="s">
        <v>1110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41407.724675925929</v>
      </c>
      <c r="O47" s="814"/>
      <c r="P47" s="159" t="s">
        <v>1111</v>
      </c>
      <c r="Q47" s="814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2"/>
  <sheetViews>
    <sheetView tabSelected="1" topLeftCell="A75" zoomScale="90" zoomScaleNormal="90" workbookViewId="0">
      <selection activeCell="B77" sqref="B77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41407.724814814814</v>
      </c>
      <c r="C1" s="124" t="s">
        <v>602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44" t="s">
        <v>606</v>
      </c>
      <c r="F3" s="846" t="s">
        <v>607</v>
      </c>
      <c r="G3" s="847"/>
      <c r="H3" s="847"/>
      <c r="I3" s="847"/>
      <c r="J3" s="848"/>
      <c r="K3" s="846" t="s">
        <v>608</v>
      </c>
      <c r="L3" s="847"/>
      <c r="M3" s="847"/>
      <c r="N3" s="847"/>
      <c r="O3" s="848"/>
    </row>
    <row r="4" spans="1:15" s="122" customFormat="1" ht="15.75" thickBot="1" x14ac:dyDescent="0.3">
      <c r="B4" s="157" t="s">
        <v>603</v>
      </c>
      <c r="C4" s="122" t="s">
        <v>604</v>
      </c>
      <c r="E4" s="845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41402.707905092589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41407.647407407407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41407.647407407407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41407.647534722222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41407.647627314815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41402.707106481481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41404.026446759257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41404.026458333334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41404.026469907411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41404.026469907411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41403.993645833332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41403.993645833332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41407.646469907406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41407.646701388891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41407.64671296296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41407.647627314815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799"/>
      <c r="B32" s="800" t="s">
        <v>612</v>
      </c>
      <c r="C32" s="801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41404.026296296295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751">
        <v>41404.026365740741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5" hidden="1" outlineLevel="1" x14ac:dyDescent="0.25">
      <c r="A35" s="751">
        <v>41404.026377314818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751">
        <v>41404.026469907411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41403.993541666663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41403.993622685186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41403.993645833332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hidden="1" outlineLevel="1" x14ac:dyDescent="0.25">
      <c r="A44" s="751">
        <v>41407.722754629627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hidden="1" outlineLevel="1" x14ac:dyDescent="0.25">
      <c r="A45" s="751">
        <v>41407.722766203704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hidden="1" outlineLevel="1" x14ac:dyDescent="0.25">
      <c r="A46" s="751">
        <v>41407.722812499997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L131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41404.037916666668</v>
      </c>
      <c r="B66" s="752" t="s">
        <v>768</v>
      </c>
      <c r="C66" s="827" t="str">
        <f>F6&amp;"/"&amp;B10</f>
        <v>LOAD_1C_P/PaymentPaint</v>
      </c>
      <c r="D66" s="195"/>
      <c r="E66" s="196" t="s">
        <v>70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41404.037916666668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28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41404.036921296298</v>
      </c>
      <c r="B70" s="752" t="s">
        <v>982</v>
      </c>
      <c r="C70" s="827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41404.036921296298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28">
        <v>5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41403.996469907404</v>
      </c>
      <c r="B74" s="195" t="s">
        <v>656</v>
      </c>
      <c r="C74" s="802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41403.996469907404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3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751"/>
      <c r="B77" s="752" t="s">
        <v>612</v>
      </c>
      <c r="C77" s="753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5"/>
    </row>
    <row r="78" spans="1:16" s="172" customFormat="1" ht="15.75" thickTop="1" x14ac:dyDescent="0.25">
      <c r="A78" s="751">
        <v>41407.724814814814</v>
      </c>
      <c r="B78" s="752" t="s">
        <v>1110</v>
      </c>
      <c r="C78" s="827" t="str">
        <f>F43&amp;"/"&amp;B46</f>
        <v>LOAD_Order/Adapt</v>
      </c>
      <c r="D78" s="195"/>
      <c r="E78" s="196" t="s">
        <v>70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5"/>
    </row>
    <row r="79" spans="1:16" s="172" customFormat="1" x14ac:dyDescent="0.25">
      <c r="A79" s="751">
        <v>41407.724814814814</v>
      </c>
      <c r="B79" s="754" t="s">
        <v>619</v>
      </c>
      <c r="C79" s="572" t="str">
        <f>B78</f>
        <v>NewOrder</v>
      </c>
      <c r="D79" s="195"/>
      <c r="E79" s="196" t="s">
        <v>70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5"/>
    </row>
    <row r="80" spans="1:16" s="186" customFormat="1" ht="15.75" thickBot="1" x14ac:dyDescent="0.3">
      <c r="A80" s="755"/>
      <c r="B80" s="756" t="s">
        <v>613</v>
      </c>
      <c r="C80" s="82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751"/>
      <c r="B92" s="752" t="s">
        <v>612</v>
      </c>
      <c r="C92" s="753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34"/>
    </row>
    <row r="93" spans="1:16" ht="15.75" thickTop="1" x14ac:dyDescent="0.25">
      <c r="A93" s="194"/>
      <c r="B93" s="201" t="s">
        <v>1071</v>
      </c>
      <c r="C93" s="159" t="s">
        <v>592</v>
      </c>
      <c r="D93" s="5"/>
      <c r="E93" s="217" t="s">
        <v>201</v>
      </c>
      <c r="F93" s="839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5"/>
    </row>
    <row r="94" spans="1:16" x14ac:dyDescent="0.25">
      <c r="A94" s="194"/>
      <c r="B94" s="201" t="s">
        <v>1167</v>
      </c>
      <c r="C94" s="159" t="str">
        <f>B93</f>
        <v>BTO_Mail_track</v>
      </c>
      <c r="D94" s="5"/>
      <c r="E94" s="217"/>
      <c r="F94" s="839" t="str">
        <f>F93</f>
        <v>BTOlog</v>
      </c>
      <c r="G94" s="300" t="str">
        <f>L94</f>
        <v>BTO</v>
      </c>
      <c r="H94" s="840">
        <v>11</v>
      </c>
      <c r="I94" s="214"/>
      <c r="J94" s="221"/>
      <c r="K94" s="839" t="str">
        <f>F93</f>
        <v>BTOlog</v>
      </c>
      <c r="L94" s="300" t="str">
        <f>TOCmatch!B20</f>
        <v>BTO</v>
      </c>
      <c r="M94" s="197"/>
      <c r="N94" s="200"/>
      <c r="O94" s="198"/>
      <c r="P94" s="835"/>
    </row>
    <row r="95" spans="1:16" s="172" customFormat="1" x14ac:dyDescent="0.25">
      <c r="A95" s="194">
        <v>41344.938113425924</v>
      </c>
      <c r="B95" s="201" t="s">
        <v>619</v>
      </c>
      <c r="C95" s="460" t="str">
        <f>B94</f>
        <v>UniqueHandle</v>
      </c>
      <c r="D95" s="195"/>
      <c r="E95" s="196" t="s">
        <v>201</v>
      </c>
      <c r="F95" s="839" t="str">
        <f>F93</f>
        <v>BTOlog</v>
      </c>
      <c r="G95" s="200" t="s">
        <v>790</v>
      </c>
      <c r="H95" s="214" t="s">
        <v>1168</v>
      </c>
      <c r="I95" s="214" t="s">
        <v>1169</v>
      </c>
      <c r="J95" s="198"/>
      <c r="K95" s="839" t="str">
        <f>F95</f>
        <v>BTOlog</v>
      </c>
      <c r="M95" s="197"/>
      <c r="N95" s="200"/>
      <c r="O95" s="198"/>
      <c r="P95" s="835"/>
    </row>
    <row r="96" spans="1:16" s="186" customFormat="1" ht="15.75" thickBot="1" x14ac:dyDescent="0.3">
      <c r="A96" s="203"/>
      <c r="B96" s="204" t="s">
        <v>613</v>
      </c>
      <c r="C96" s="236"/>
      <c r="D96" s="204"/>
      <c r="E96" s="205" t="s">
        <v>201</v>
      </c>
      <c r="F96" s="206"/>
      <c r="G96" s="207"/>
      <c r="H96" s="207"/>
      <c r="I96" s="207"/>
      <c r="J96" s="208"/>
      <c r="K96" s="209"/>
      <c r="L96" s="210"/>
      <c r="M96" s="207"/>
      <c r="N96" s="210"/>
      <c r="O96" s="208"/>
      <c r="P96" s="836"/>
    </row>
    <row r="97" spans="1:15" s="513" customFormat="1" ht="16.5" thickTop="1" thickBot="1" x14ac:dyDescent="0.3">
      <c r="A97" s="757">
        <v>41201.045671296299</v>
      </c>
      <c r="B97" s="758" t="s">
        <v>612</v>
      </c>
      <c r="C97" s="759"/>
      <c r="D97" s="507"/>
      <c r="E97" s="508" t="s">
        <v>201</v>
      </c>
      <c r="F97" s="509" t="s">
        <v>819</v>
      </c>
      <c r="G97" s="507"/>
      <c r="H97" s="507"/>
      <c r="I97" s="507"/>
      <c r="J97" s="510"/>
      <c r="K97" s="511" t="str">
        <f>K6</f>
        <v>Платежи</v>
      </c>
      <c r="L97" s="512"/>
      <c r="M97" s="507"/>
      <c r="N97" s="512"/>
      <c r="O97" s="510"/>
    </row>
    <row r="98" spans="1:15" s="172" customFormat="1" ht="16.5" thickTop="1" thickBot="1" x14ac:dyDescent="0.3">
      <c r="A98" s="263">
        <v>41289.96565972222</v>
      </c>
      <c r="B98" s="457" t="s">
        <v>822</v>
      </c>
      <c r="C98" s="458"/>
      <c r="D98" s="195"/>
      <c r="E98" s="449" t="s">
        <v>70</v>
      </c>
      <c r="F98" s="199" t="str">
        <f>F73</f>
        <v>HANDL_NewContract</v>
      </c>
      <c r="G98" s="685" t="str">
        <f>F97</f>
        <v>WP_PaidOpp</v>
      </c>
      <c r="H98" s="685" t="str">
        <f>B104</f>
        <v>WP_Paid</v>
      </c>
      <c r="I98" s="686">
        <v>7</v>
      </c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41289.96565972222</v>
      </c>
      <c r="B99" s="264" t="s">
        <v>821</v>
      </c>
      <c r="C99" s="572" t="str">
        <f>B98</f>
        <v>ProcReset</v>
      </c>
      <c r="D99" s="195"/>
      <c r="E99" s="196" t="s">
        <v>70</v>
      </c>
      <c r="F99" s="514">
        <f>C76</f>
        <v>3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263">
        <v>41289.965682870374</v>
      </c>
      <c r="B100" s="457" t="s">
        <v>822</v>
      </c>
      <c r="C100" s="458"/>
      <c r="D100" s="195"/>
      <c r="E100" s="449" t="s">
        <v>70</v>
      </c>
      <c r="F100" s="199" t="str">
        <f>F69</f>
        <v>HANDL_PaidContr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821</v>
      </c>
      <c r="C101" s="460" t="str">
        <f>B99</f>
        <v>CheckProc0</v>
      </c>
      <c r="D101" s="195"/>
      <c r="E101" s="196" t="s">
        <v>201</v>
      </c>
      <c r="F101" s="698">
        <f>C72</f>
        <v>5</v>
      </c>
      <c r="G101" s="220"/>
      <c r="H101" s="197"/>
      <c r="I101" s="197"/>
      <c r="J101" s="198"/>
      <c r="K101" s="199"/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802</v>
      </c>
      <c r="G102" s="197"/>
      <c r="H102" s="197"/>
      <c r="I102" s="197"/>
      <c r="J102" s="198"/>
      <c r="K102" s="266" t="str">
        <f>F102</f>
        <v>NewOpp</v>
      </c>
      <c r="L102" s="200"/>
      <c r="M102" s="197"/>
      <c r="N102" s="200"/>
      <c r="O102" s="198"/>
    </row>
    <row r="103" spans="1:15" s="172" customFormat="1" x14ac:dyDescent="0.25">
      <c r="A103" s="194"/>
      <c r="B103" s="195" t="s">
        <v>666</v>
      </c>
      <c r="C103" s="237"/>
      <c r="D103" s="211"/>
      <c r="E103" s="196" t="s">
        <v>201</v>
      </c>
      <c r="F103" s="266" t="s">
        <v>792</v>
      </c>
      <c r="G103" s="197"/>
      <c r="H103" s="197"/>
      <c r="I103" s="197"/>
      <c r="J103" s="198"/>
      <c r="K103" s="266" t="str">
        <f>F103</f>
        <v>NewPayment</v>
      </c>
      <c r="L103" s="200"/>
      <c r="M103" s="197"/>
      <c r="N103" s="200"/>
      <c r="O103" s="198"/>
    </row>
    <row r="104" spans="1:15" s="172" customFormat="1" ht="15.75" thickBot="1" x14ac:dyDescent="0.3">
      <c r="A104" s="666"/>
      <c r="B104" s="667" t="s">
        <v>964</v>
      </c>
      <c r="C104" s="668" t="str">
        <f>B99</f>
        <v>CheckProc0</v>
      </c>
      <c r="D104" s="667"/>
      <c r="E104" s="669" t="s">
        <v>201</v>
      </c>
      <c r="F104" s="670" t="s">
        <v>820</v>
      </c>
      <c r="G104" s="684" t="s">
        <v>201</v>
      </c>
      <c r="H104" s="672"/>
      <c r="I104" s="672"/>
      <c r="J104" s="673"/>
      <c r="K104" s="674" t="str">
        <f>K97</f>
        <v>Платежи</v>
      </c>
      <c r="L104" s="675" t="str">
        <f>TOCmatch!B17</f>
        <v>SFacc</v>
      </c>
      <c r="M104" s="675" t="str">
        <f>TOCmatch!B16</f>
        <v>SFopp</v>
      </c>
      <c r="N104" s="675" t="str">
        <f>TOCmatch!B15</f>
        <v>SFD</v>
      </c>
      <c r="O104" s="673"/>
    </row>
    <row r="105" spans="1:15" s="172" customFormat="1" ht="15.75" thickTop="1" x14ac:dyDescent="0.25">
      <c r="A105" s="194"/>
      <c r="B105" s="201" t="s">
        <v>619</v>
      </c>
      <c r="C105" s="460" t="str">
        <f>B104</f>
        <v>WP_Paid</v>
      </c>
      <c r="D105" s="195"/>
      <c r="E105" s="196" t="s">
        <v>201</v>
      </c>
      <c r="F105" s="266" t="s">
        <v>802</v>
      </c>
      <c r="G105" s="200" t="s">
        <v>790</v>
      </c>
      <c r="H105" s="214" t="s">
        <v>868</v>
      </c>
      <c r="I105" s="214" t="s">
        <v>946</v>
      </c>
      <c r="J105" s="198"/>
      <c r="K105" s="266" t="str">
        <f>F105</f>
        <v>NewOpp</v>
      </c>
      <c r="L105" s="200"/>
      <c r="M105" s="197"/>
      <c r="N105" s="200"/>
      <c r="O105" s="198"/>
    </row>
    <row r="106" spans="1:15" s="172" customFormat="1" x14ac:dyDescent="0.25">
      <c r="A106" s="194"/>
      <c r="B106" s="201" t="s">
        <v>619</v>
      </c>
      <c r="C106" s="460" t="str">
        <f>B104</f>
        <v>WP_Paid</v>
      </c>
      <c r="D106" s="195"/>
      <c r="E106" s="196" t="s">
        <v>201</v>
      </c>
      <c r="F106" s="266" t="s">
        <v>792</v>
      </c>
      <c r="G106" s="200" t="s">
        <v>790</v>
      </c>
      <c r="H106" s="214" t="s">
        <v>797</v>
      </c>
      <c r="I106" s="214" t="s">
        <v>798</v>
      </c>
      <c r="J106" s="198"/>
      <c r="K106" s="266" t="str">
        <f>F106</f>
        <v>NewPayment</v>
      </c>
      <c r="L106" s="200"/>
      <c r="M106" s="197"/>
      <c r="N106" s="200"/>
      <c r="O106" s="198"/>
    </row>
    <row r="107" spans="1:15" s="173" customFormat="1" x14ac:dyDescent="0.25">
      <c r="A107" s="715"/>
      <c r="B107" s="201" t="s">
        <v>613</v>
      </c>
      <c r="C107" s="716">
        <v>0</v>
      </c>
      <c r="D107" s="201"/>
      <c r="E107" s="202" t="s">
        <v>201</v>
      </c>
      <c r="F107" s="506"/>
      <c r="G107" s="197"/>
      <c r="H107" s="197"/>
      <c r="I107" s="197"/>
      <c r="J107" s="198"/>
      <c r="K107" s="199"/>
      <c r="L107" s="200"/>
      <c r="M107" s="197"/>
      <c r="N107" s="200"/>
      <c r="O107" s="198"/>
    </row>
    <row r="108" spans="1:15" s="679" customFormat="1" ht="15.75" thickBot="1" x14ac:dyDescent="0.3">
      <c r="A108" s="713">
        <v>41201.045671296299</v>
      </c>
      <c r="B108" s="227" t="s">
        <v>612</v>
      </c>
      <c r="C108" s="714"/>
      <c r="D108" s="302"/>
      <c r="E108" s="676" t="s">
        <v>201</v>
      </c>
      <c r="F108" s="677" t="s">
        <v>959</v>
      </c>
      <c r="G108" s="302"/>
      <c r="H108" s="302"/>
      <c r="I108" s="302"/>
      <c r="J108" s="305"/>
      <c r="K108" s="678" t="str">
        <f>TOCmatch!B$8</f>
        <v>Платежи</v>
      </c>
      <c r="L108" s="307"/>
      <c r="M108" s="302"/>
      <c r="N108" s="307"/>
      <c r="O108" s="305"/>
    </row>
    <row r="109" spans="1:15" s="172" customFormat="1" ht="15.75" thickTop="1" x14ac:dyDescent="0.25">
      <c r="A109" s="263">
        <v>41218.822870370372</v>
      </c>
      <c r="B109" s="264" t="s">
        <v>666</v>
      </c>
      <c r="C109" s="265"/>
      <c r="D109" s="211"/>
      <c r="E109" s="196"/>
      <c r="F109" s="266" t="s">
        <v>914</v>
      </c>
      <c r="G109" s="197"/>
      <c r="H109" s="197"/>
      <c r="I109" s="197"/>
      <c r="J109" s="198"/>
      <c r="K109" s="266" t="str">
        <f>F109</f>
        <v>NewAcc</v>
      </c>
      <c r="L109" s="200"/>
      <c r="M109" s="197"/>
      <c r="N109" s="200"/>
      <c r="O109" s="198"/>
    </row>
    <row r="110" spans="1:15" s="172" customFormat="1" x14ac:dyDescent="0.25">
      <c r="A110" s="263"/>
      <c r="B110" s="264" t="s">
        <v>962</v>
      </c>
      <c r="C110" s="460" t="str">
        <f>B109</f>
        <v>NewSheet</v>
      </c>
      <c r="D110" s="211"/>
      <c r="E110" s="196"/>
      <c r="F110" s="682"/>
      <c r="G110" s="197"/>
      <c r="H110" s="197"/>
      <c r="I110" s="197"/>
      <c r="J110" s="198"/>
      <c r="K110" s="266"/>
      <c r="L110" s="200"/>
      <c r="M110" s="197"/>
      <c r="N110" s="200"/>
      <c r="O110" s="198"/>
    </row>
    <row r="111" spans="1:15" s="172" customFormat="1" x14ac:dyDescent="0.25">
      <c r="A111" s="194"/>
      <c r="B111" s="195" t="s">
        <v>617</v>
      </c>
      <c r="C111" s="235"/>
      <c r="D111" s="195"/>
      <c r="E111" s="196" t="s">
        <v>201</v>
      </c>
      <c r="F111" s="213" t="s">
        <v>579</v>
      </c>
      <c r="G111" s="220" t="s">
        <v>967</v>
      </c>
      <c r="H111" s="197"/>
      <c r="I111" s="197"/>
      <c r="J111" s="198"/>
      <c r="K111" s="199"/>
      <c r="L111" s="200"/>
      <c r="M111" s="197"/>
      <c r="N111" s="200"/>
      <c r="O111" s="198"/>
    </row>
    <row r="112" spans="1:15" s="172" customFormat="1" ht="15.75" thickBot="1" x14ac:dyDescent="0.3">
      <c r="A112" s="666">
        <v>41218.824293981481</v>
      </c>
      <c r="B112" s="667" t="s">
        <v>964</v>
      </c>
      <c r="C112" s="668" t="str">
        <f>B110</f>
        <v>SFaccDicBuild</v>
      </c>
      <c r="D112" s="667"/>
      <c r="E112" s="669" t="s">
        <v>201</v>
      </c>
      <c r="F112" s="670" t="s">
        <v>960</v>
      </c>
      <c r="G112" s="671"/>
      <c r="H112" s="672"/>
      <c r="I112" s="672"/>
      <c r="J112" s="673"/>
      <c r="K112" s="674" t="str">
        <f>K108</f>
        <v>Платежи</v>
      </c>
      <c r="L112" s="675">
        <f>TOCmatch!B28</f>
        <v>0</v>
      </c>
      <c r="M112" s="675">
        <f>TOCmatch!B27</f>
        <v>0</v>
      </c>
      <c r="N112" s="675">
        <f>TOCmatch!B26</f>
        <v>0</v>
      </c>
      <c r="O112" s="673"/>
    </row>
    <row r="113" spans="1:15" s="172" customFormat="1" ht="15.75" thickTop="1" x14ac:dyDescent="0.25">
      <c r="A113" s="194">
        <v>41218.824293981481</v>
      </c>
      <c r="B113" s="201" t="s">
        <v>619</v>
      </c>
      <c r="C113" s="460" t="str">
        <f>B112</f>
        <v>WP_Paid</v>
      </c>
      <c r="D113" s="195"/>
      <c r="E113" s="196" t="s">
        <v>201</v>
      </c>
      <c r="F113" s="266" t="str">
        <f>F109</f>
        <v>NewAcc</v>
      </c>
      <c r="G113" s="200" t="s">
        <v>790</v>
      </c>
      <c r="H113" s="214" t="s">
        <v>868</v>
      </c>
      <c r="I113" s="214" t="s">
        <v>946</v>
      </c>
      <c r="J113" s="198"/>
      <c r="K113" s="266" t="str">
        <f>F113</f>
        <v>NewAcc</v>
      </c>
      <c r="L113" s="200"/>
      <c r="M113" s="197"/>
      <c r="N113" s="200"/>
      <c r="O113" s="198"/>
    </row>
    <row r="114" spans="1:15" s="186" customFormat="1" x14ac:dyDescent="0.25">
      <c r="A114" s="203"/>
      <c r="B114" s="204" t="s">
        <v>613</v>
      </c>
      <c r="C114" s="236">
        <v>5</v>
      </c>
      <c r="D114" s="204"/>
      <c r="E114" s="205" t="s">
        <v>201</v>
      </c>
      <c r="F114" s="206"/>
      <c r="G114" s="207"/>
      <c r="H114" s="207"/>
      <c r="I114" s="207"/>
      <c r="J114" s="208"/>
      <c r="K114" s="209"/>
      <c r="L114" s="210"/>
      <c r="M114" s="207"/>
      <c r="N114" s="210"/>
      <c r="O114" s="208"/>
    </row>
    <row r="115" spans="1:15" s="172" customFormat="1" x14ac:dyDescent="0.25">
      <c r="A115" s="194"/>
      <c r="B115" s="195" t="s">
        <v>612</v>
      </c>
      <c r="C115" s="237"/>
      <c r="D115" s="211"/>
      <c r="E115" s="196" t="s">
        <v>201</v>
      </c>
      <c r="F115" s="212" t="s">
        <v>635</v>
      </c>
      <c r="G115" s="197"/>
      <c r="H115" s="197"/>
      <c r="I115" s="197"/>
      <c r="J115" s="198"/>
      <c r="K115" s="187" t="s">
        <v>550</v>
      </c>
      <c r="L115" s="200"/>
      <c r="M115" s="197"/>
      <c r="N115" s="200"/>
      <c r="O115" s="198"/>
    </row>
    <row r="116" spans="1:15" s="172" customFormat="1" x14ac:dyDescent="0.25">
      <c r="A116" s="216"/>
      <c r="B116" s="195" t="s">
        <v>617</v>
      </c>
      <c r="C116" s="235"/>
      <c r="D116" s="195"/>
      <c r="E116" s="196"/>
      <c r="F116" s="213" t="s">
        <v>70</v>
      </c>
      <c r="G116" s="220"/>
      <c r="H116" s="197"/>
      <c r="I116" s="197"/>
      <c r="J116" s="198"/>
      <c r="K116" s="199"/>
      <c r="L116" s="200"/>
      <c r="M116" s="197"/>
      <c r="N116" s="200"/>
      <c r="O116" s="198"/>
    </row>
    <row r="117" spans="1:15" ht="30" x14ac:dyDescent="0.25">
      <c r="A117" s="216"/>
      <c r="B117" s="201" t="s">
        <v>624</v>
      </c>
      <c r="C117" s="234" t="s">
        <v>652</v>
      </c>
      <c r="D117" s="5"/>
      <c r="E117" s="217" t="s">
        <v>201</v>
      </c>
      <c r="F117" s="199"/>
      <c r="G117" s="200"/>
      <c r="H117" s="214"/>
      <c r="I117" s="214"/>
      <c r="J117" s="221"/>
      <c r="K117" s="222" t="s">
        <v>550</v>
      </c>
      <c r="L117" s="214" t="s">
        <v>562</v>
      </c>
      <c r="M117" s="214"/>
      <c r="N117" s="214"/>
      <c r="O117" s="221"/>
    </row>
    <row r="118" spans="1:15" s="186" customFormat="1" x14ac:dyDescent="0.25">
      <c r="A118" s="203"/>
      <c r="B118" s="204" t="s">
        <v>613</v>
      </c>
      <c r="C118" s="236"/>
      <c r="D118" s="204"/>
      <c r="E118" s="205" t="s">
        <v>201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5" s="135" customFormat="1" x14ac:dyDescent="0.25">
      <c r="A119" s="224"/>
      <c r="B119" s="225" t="s">
        <v>589</v>
      </c>
      <c r="C119" s="226" t="s">
        <v>126</v>
      </c>
      <c r="D119" s="227"/>
      <c r="E119" s="228"/>
      <c r="F119" s="229"/>
      <c r="G119" s="223"/>
      <c r="H119" s="223"/>
      <c r="I119" s="223"/>
      <c r="J119" s="230"/>
      <c r="K119" s="229" t="s">
        <v>588</v>
      </c>
      <c r="L119" s="223"/>
      <c r="M119" s="223"/>
      <c r="N119" s="223"/>
      <c r="O119" s="230"/>
    </row>
    <row r="120" spans="1:15" x14ac:dyDescent="0.25">
      <c r="A120" s="231"/>
      <c r="B120" s="232">
        <v>1043</v>
      </c>
      <c r="C120" s="233"/>
      <c r="D120" s="5"/>
      <c r="E120" s="196"/>
      <c r="F120" s="219"/>
      <c r="G120" s="214"/>
      <c r="H120" s="214"/>
      <c r="I120" s="214"/>
      <c r="J120" s="215"/>
      <c r="K120" s="219" t="s">
        <v>588</v>
      </c>
      <c r="L120" s="214"/>
      <c r="M120" s="214"/>
      <c r="N120" s="214"/>
      <c r="O120" s="215"/>
    </row>
    <row r="121" spans="1:15" s="135" customFormat="1" ht="15.75" thickBot="1" x14ac:dyDescent="0.3">
      <c r="A121" s="134"/>
      <c r="B121" s="155" t="s">
        <v>589</v>
      </c>
      <c r="C121" s="193" t="s">
        <v>126</v>
      </c>
      <c r="D121" s="156"/>
      <c r="E121" s="191"/>
      <c r="F121" s="175"/>
      <c r="G121" s="176"/>
      <c r="H121" s="176"/>
      <c r="I121" s="176"/>
      <c r="J121" s="177"/>
      <c r="K121" s="175" t="s">
        <v>595</v>
      </c>
      <c r="L121" s="176"/>
      <c r="M121" s="176"/>
      <c r="N121" s="176"/>
      <c r="O121" s="177"/>
    </row>
    <row r="122" spans="1:15" x14ac:dyDescent="0.25">
      <c r="A122" s="144"/>
    </row>
    <row r="123" spans="1:15" s="172" customFormat="1" x14ac:dyDescent="0.25">
      <c r="A123" s="194"/>
      <c r="B123" s="195" t="s">
        <v>617</v>
      </c>
      <c r="C123" s="235"/>
      <c r="D123" s="195"/>
      <c r="E123" s="196" t="s">
        <v>201</v>
      </c>
      <c r="F123" s="213" t="s">
        <v>579</v>
      </c>
      <c r="G123" s="220" t="s">
        <v>967</v>
      </c>
      <c r="H123" s="197"/>
      <c r="I123" s="197"/>
      <c r="J123" s="198"/>
      <c r="K123" s="199"/>
      <c r="L123" s="200"/>
      <c r="M123" s="197"/>
      <c r="N123" s="200"/>
      <c r="O123" s="198"/>
    </row>
    <row r="125" spans="1:15" ht="45" hidden="1" outlineLevel="1" x14ac:dyDescent="0.25">
      <c r="A125" s="194">
        <v>41217.705717592595</v>
      </c>
      <c r="B125" s="195" t="s">
        <v>640</v>
      </c>
      <c r="C125" s="234" t="s">
        <v>639</v>
      </c>
      <c r="D125" s="214"/>
      <c r="E125" s="217" t="s">
        <v>201</v>
      </c>
      <c r="F125" s="213" t="s">
        <v>560</v>
      </c>
      <c r="G125" s="200" t="s">
        <v>555</v>
      </c>
      <c r="H125" s="220" t="s">
        <v>94</v>
      </c>
      <c r="I125" s="220" t="s">
        <v>128</v>
      </c>
      <c r="J125" s="221"/>
      <c r="L125" s="300" t="str">
        <f>TOCmatch!B$15</f>
        <v>SFD</v>
      </c>
      <c r="M125" s="214"/>
      <c r="N125" s="214"/>
      <c r="O125" s="221"/>
    </row>
    <row r="126" spans="1:15" collapsed="1" x14ac:dyDescent="0.25"/>
    <row r="128" spans="1:15" s="148" customFormat="1" hidden="1" outlineLevel="1" x14ac:dyDescent="0.25">
      <c r="A128" s="194">
        <v>41217.684374999997</v>
      </c>
      <c r="B128" s="195" t="s">
        <v>594</v>
      </c>
      <c r="C128" s="234" t="s">
        <v>592</v>
      </c>
      <c r="D128" s="195"/>
      <c r="E128" s="196" t="s">
        <v>201</v>
      </c>
      <c r="F128" s="424" t="s">
        <v>766</v>
      </c>
      <c r="G128" s="425" t="s">
        <v>767</v>
      </c>
      <c r="H128" s="197"/>
      <c r="I128" s="197"/>
      <c r="J128" s="215"/>
      <c r="K128" s="199">
        <f>TOCmatch!B100</f>
        <v>0</v>
      </c>
      <c r="L128" s="300" t="str">
        <f>TOCmatch!B$17</f>
        <v>SFacc</v>
      </c>
      <c r="M128" s="300" t="str">
        <f>TOCmatch!B$15</f>
        <v>SFD</v>
      </c>
      <c r="N128" s="214"/>
      <c r="O128" s="215"/>
    </row>
    <row r="129" spans="1:15" collapsed="1" x14ac:dyDescent="0.25"/>
    <row r="131" spans="1:15" s="148" customFormat="1" hidden="1" outlineLevel="1" x14ac:dyDescent="0.25">
      <c r="A131" s="194">
        <v>41227.065937500003</v>
      </c>
      <c r="B131" s="195" t="s">
        <v>845</v>
      </c>
      <c r="C131" s="654" t="str">
        <f>B50</f>
        <v>InsMyCol</v>
      </c>
      <c r="D131" s="195"/>
      <c r="E131" s="196" t="s">
        <v>201</v>
      </c>
      <c r="F131" s="213" t="s">
        <v>128</v>
      </c>
      <c r="G131" s="220" t="s">
        <v>91</v>
      </c>
      <c r="H131" s="220" t="s">
        <v>110</v>
      </c>
      <c r="I131" s="220" t="s">
        <v>795</v>
      </c>
      <c r="J131" s="544"/>
      <c r="K131" s="546" t="str">
        <f>K48</f>
        <v>Склад</v>
      </c>
      <c r="L131" s="200" t="str">
        <f>TOCmatch!B8</f>
        <v>Платежи</v>
      </c>
      <c r="M131" s="214"/>
      <c r="N131" s="172"/>
      <c r="O131" s="198"/>
    </row>
    <row r="132" spans="1:15" collapsed="1" x14ac:dyDescent="0.25"/>
  </sheetData>
  <autoFilter ref="A4:O12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"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9" t="s">
        <v>354</v>
      </c>
      <c r="I49" s="850"/>
      <c r="J49" s="850"/>
      <c r="K49" s="843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51" t="s">
        <v>354</v>
      </c>
      <c r="N50" s="852"/>
      <c r="O50" s="852"/>
      <c r="P50" s="852"/>
      <c r="Q50" s="853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01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601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41" t="s">
        <v>1170</v>
      </c>
    </row>
    <row r="9" spans="1:4" x14ac:dyDescent="0.25">
      <c r="A9" s="36">
        <v>41399</v>
      </c>
      <c r="B9" s="121">
        <v>0.69373842592592594</v>
      </c>
      <c r="C9" s="26" t="s">
        <v>1171</v>
      </c>
    </row>
    <row r="10" spans="1:4" x14ac:dyDescent="0.25">
      <c r="A10" s="36">
        <v>41399</v>
      </c>
      <c r="B10" s="121">
        <v>0.69822916666666668</v>
      </c>
      <c r="C10" s="26" t="s">
        <v>1171</v>
      </c>
    </row>
    <row r="11" spans="1:4" x14ac:dyDescent="0.25">
      <c r="A11" s="36">
        <v>41399</v>
      </c>
      <c r="B11" s="121">
        <v>0.70775462962962965</v>
      </c>
      <c r="C11" s="26" t="s">
        <v>1172</v>
      </c>
    </row>
    <row r="12" spans="1:4" ht="45" x14ac:dyDescent="0.25">
      <c r="A12" s="36">
        <v>41399</v>
      </c>
      <c r="B12" s="121">
        <v>0.71197916666666661</v>
      </c>
      <c r="C12" s="841" t="s">
        <v>1173</v>
      </c>
    </row>
    <row r="13" spans="1:4" x14ac:dyDescent="0.25">
      <c r="A13" s="36">
        <v>41399</v>
      </c>
      <c r="B13" s="121">
        <v>0.71725694444444443</v>
      </c>
      <c r="C13" s="26" t="s">
        <v>1174</v>
      </c>
    </row>
    <row r="14" spans="1:4" ht="45" x14ac:dyDescent="0.25">
      <c r="A14" s="36">
        <v>41399</v>
      </c>
      <c r="B14" s="121">
        <v>0.71781249999999996</v>
      </c>
      <c r="C14" s="841" t="s">
        <v>1175</v>
      </c>
    </row>
    <row r="15" spans="1:4" ht="60" x14ac:dyDescent="0.25">
      <c r="A15" s="36">
        <v>41401</v>
      </c>
      <c r="B15" s="121">
        <v>6.3287037037037031E-2</v>
      </c>
      <c r="C15" s="841" t="s">
        <v>1176</v>
      </c>
    </row>
    <row r="16" spans="1:4" ht="60" x14ac:dyDescent="0.25">
      <c r="A16" s="36">
        <v>41401</v>
      </c>
      <c r="B16" s="121">
        <v>6.3553240740740743E-2</v>
      </c>
      <c r="C16" s="841" t="s">
        <v>1176</v>
      </c>
    </row>
    <row r="17" spans="1:3" x14ac:dyDescent="0.25">
      <c r="A17" s="36">
        <v>41401</v>
      </c>
      <c r="B17" s="121">
        <v>6.5104166666666671E-2</v>
      </c>
      <c r="C17" s="26" t="s">
        <v>1177</v>
      </c>
    </row>
    <row r="18" spans="1:3" ht="45" x14ac:dyDescent="0.25">
      <c r="A18" s="36">
        <v>41401</v>
      </c>
      <c r="B18" s="121">
        <v>6.5856481481481488E-2</v>
      </c>
      <c r="C18" s="841" t="s">
        <v>1178</v>
      </c>
    </row>
    <row r="19" spans="1:3" x14ac:dyDescent="0.25">
      <c r="A19" s="36">
        <v>41401</v>
      </c>
      <c r="B19" s="121">
        <v>7.4606481481481482E-2</v>
      </c>
      <c r="C19" s="26" t="s">
        <v>1179</v>
      </c>
    </row>
    <row r="20" spans="1:3" x14ac:dyDescent="0.25">
      <c r="A20" s="36">
        <v>41401</v>
      </c>
      <c r="B20" s="121">
        <v>7.4745370370370365E-2</v>
      </c>
      <c r="C20" s="26" t="s">
        <v>1180</v>
      </c>
    </row>
    <row r="21" spans="1:3" x14ac:dyDescent="0.25">
      <c r="A21" s="36">
        <v>41401</v>
      </c>
      <c r="B21" s="121">
        <v>7.6018518518518527E-2</v>
      </c>
      <c r="C21" s="26" t="s">
        <v>1179</v>
      </c>
    </row>
    <row r="22" spans="1:3" x14ac:dyDescent="0.25">
      <c r="A22" s="36">
        <v>41401</v>
      </c>
      <c r="B22" s="121">
        <v>7.6168981481481476E-2</v>
      </c>
      <c r="C22" s="26" t="s">
        <v>1180</v>
      </c>
    </row>
    <row r="23" spans="1:3" x14ac:dyDescent="0.25">
      <c r="A23" s="36">
        <v>41401</v>
      </c>
      <c r="B23" s="121">
        <v>9.8599537037037041E-2</v>
      </c>
      <c r="C23" s="26" t="s">
        <v>1181</v>
      </c>
    </row>
    <row r="24" spans="1:3" x14ac:dyDescent="0.25">
      <c r="A24" s="36">
        <v>41401</v>
      </c>
      <c r="B24" s="121">
        <v>0.10483796296296295</v>
      </c>
      <c r="C24" s="26" t="s">
        <v>1179</v>
      </c>
    </row>
    <row r="25" spans="1:3" x14ac:dyDescent="0.25">
      <c r="A25" s="36">
        <v>41401</v>
      </c>
      <c r="B25" s="121">
        <v>0.105</v>
      </c>
      <c r="C25" s="26" t="s">
        <v>1182</v>
      </c>
    </row>
    <row r="26" spans="1:3" x14ac:dyDescent="0.25">
      <c r="A26" s="36">
        <v>41401</v>
      </c>
      <c r="B26" s="121">
        <v>0.52673611111111118</v>
      </c>
      <c r="C26" s="26" t="s">
        <v>1183</v>
      </c>
    </row>
    <row r="27" spans="1:3" x14ac:dyDescent="0.25">
      <c r="A27" s="36">
        <v>41401</v>
      </c>
      <c r="B27" s="121">
        <v>0.55690972222222224</v>
      </c>
      <c r="C27" s="26" t="s">
        <v>1184</v>
      </c>
    </row>
    <row r="28" spans="1:3" x14ac:dyDescent="0.25">
      <c r="A28" s="36">
        <v>41401</v>
      </c>
      <c r="B28" s="121">
        <v>0.68530092592592595</v>
      </c>
      <c r="C28" s="26" t="s">
        <v>1185</v>
      </c>
    </row>
    <row r="29" spans="1:3" x14ac:dyDescent="0.25">
      <c r="A29" s="36">
        <v>41402</v>
      </c>
      <c r="B29" s="121">
        <v>0.61458333333333337</v>
      </c>
      <c r="C29" s="26" t="s">
        <v>1186</v>
      </c>
    </row>
    <row r="30" spans="1:3" x14ac:dyDescent="0.25">
      <c r="A30" s="36">
        <v>41402</v>
      </c>
      <c r="B30" s="121">
        <v>0.63364583333333335</v>
      </c>
      <c r="C30" s="26" t="s">
        <v>1187</v>
      </c>
    </row>
    <row r="31" spans="1:3" x14ac:dyDescent="0.25">
      <c r="A31" s="36">
        <v>41402</v>
      </c>
      <c r="B31" s="121">
        <v>0.63766203703703705</v>
      </c>
      <c r="C31" s="26" t="s">
        <v>1188</v>
      </c>
    </row>
    <row r="32" spans="1:3" x14ac:dyDescent="0.25">
      <c r="A32" s="36">
        <v>41402</v>
      </c>
      <c r="B32" s="121">
        <v>0.65077546296296296</v>
      </c>
      <c r="C32" s="26" t="s">
        <v>1189</v>
      </c>
    </row>
    <row r="33" spans="1:3" x14ac:dyDescent="0.25">
      <c r="A33" s="36">
        <v>41402</v>
      </c>
      <c r="B33" s="121">
        <v>0.70674768518518516</v>
      </c>
      <c r="C33" s="26" t="s">
        <v>1190</v>
      </c>
    </row>
    <row r="34" spans="1:3" ht="45" x14ac:dyDescent="0.25">
      <c r="A34" s="36">
        <v>41402</v>
      </c>
      <c r="B34" s="121">
        <v>0.70721064814814805</v>
      </c>
      <c r="C34" s="841" t="s">
        <v>1191</v>
      </c>
    </row>
    <row r="35" spans="1:3" x14ac:dyDescent="0.25">
      <c r="A35" s="36">
        <v>41402</v>
      </c>
      <c r="B35" s="121">
        <v>0.70775462962962965</v>
      </c>
      <c r="C35" s="26" t="s">
        <v>1192</v>
      </c>
    </row>
    <row r="36" spans="1:3" ht="45" x14ac:dyDescent="0.25">
      <c r="A36" s="36">
        <v>41402</v>
      </c>
      <c r="B36" s="121">
        <v>0.70886574074074071</v>
      </c>
      <c r="C36" s="841" t="s">
        <v>1193</v>
      </c>
    </row>
    <row r="37" spans="1:3" x14ac:dyDescent="0.25">
      <c r="A37" s="36">
        <v>41402</v>
      </c>
      <c r="B37" s="121">
        <v>0.7112384259259259</v>
      </c>
      <c r="C37" s="26" t="s">
        <v>1194</v>
      </c>
    </row>
    <row r="38" spans="1:3" x14ac:dyDescent="0.25">
      <c r="A38" s="36">
        <v>41402</v>
      </c>
      <c r="B38" s="121">
        <v>0.7114583333333333</v>
      </c>
      <c r="C38" s="26" t="s">
        <v>1195</v>
      </c>
    </row>
    <row r="39" spans="1:3" x14ac:dyDescent="0.25">
      <c r="A39" s="36">
        <v>41402</v>
      </c>
      <c r="B39" s="121">
        <v>0.71179398148148154</v>
      </c>
      <c r="C39" s="26" t="s">
        <v>1196</v>
      </c>
    </row>
    <row r="40" spans="1:3" x14ac:dyDescent="0.25">
      <c r="A40" s="36">
        <v>41402</v>
      </c>
      <c r="B40" s="121">
        <v>0.71203703703703702</v>
      </c>
      <c r="C40" s="26" t="s">
        <v>1197</v>
      </c>
    </row>
    <row r="41" spans="1:3" ht="30" x14ac:dyDescent="0.25">
      <c r="A41" s="36">
        <v>41402</v>
      </c>
      <c r="B41" s="121">
        <v>0.71209490740740744</v>
      </c>
      <c r="C41" s="841" t="s">
        <v>1198</v>
      </c>
    </row>
    <row r="42" spans="1:3" ht="45" x14ac:dyDescent="0.25">
      <c r="A42" s="36">
        <v>41402</v>
      </c>
      <c r="B42" s="121">
        <v>0.71218750000000008</v>
      </c>
      <c r="C42" s="841" t="s">
        <v>1199</v>
      </c>
    </row>
    <row r="43" spans="1:3" x14ac:dyDescent="0.25">
      <c r="A43" s="36">
        <v>41402</v>
      </c>
      <c r="B43" s="121">
        <v>0.71348379629629621</v>
      </c>
      <c r="C43" s="26" t="s">
        <v>1200</v>
      </c>
    </row>
    <row r="44" spans="1:3" x14ac:dyDescent="0.25">
      <c r="A44" s="36">
        <v>41402</v>
      </c>
      <c r="B44" s="121">
        <v>0.71425925925925926</v>
      </c>
      <c r="C44" s="26" t="s">
        <v>1201</v>
      </c>
    </row>
    <row r="45" spans="1:3" ht="45" x14ac:dyDescent="0.25">
      <c r="A45" s="36">
        <v>41402</v>
      </c>
      <c r="B45" s="121">
        <v>0.71569444444444441</v>
      </c>
      <c r="C45" s="841" t="s">
        <v>1202</v>
      </c>
    </row>
    <row r="46" spans="1:3" ht="45" x14ac:dyDescent="0.25">
      <c r="A46" s="36">
        <v>41402</v>
      </c>
      <c r="B46" s="121">
        <v>0.71598379629629638</v>
      </c>
      <c r="C46" s="841" t="s">
        <v>1203</v>
      </c>
    </row>
    <row r="47" spans="1:3" ht="30" x14ac:dyDescent="0.25">
      <c r="A47" s="36">
        <v>41402</v>
      </c>
      <c r="B47" s="121">
        <v>0.71605324074074073</v>
      </c>
      <c r="C47" s="841" t="s">
        <v>1204</v>
      </c>
    </row>
    <row r="48" spans="1:3" x14ac:dyDescent="0.25">
      <c r="A48" s="36">
        <v>41402</v>
      </c>
      <c r="B48" s="121">
        <v>0.71677083333333336</v>
      </c>
      <c r="C48" s="26" t="s">
        <v>1205</v>
      </c>
    </row>
    <row r="49" spans="1:3" ht="30" x14ac:dyDescent="0.25">
      <c r="A49" s="36">
        <v>41402</v>
      </c>
      <c r="B49" s="121">
        <v>0.7171643518518519</v>
      </c>
      <c r="C49" s="841" t="s">
        <v>1206</v>
      </c>
    </row>
    <row r="50" spans="1:3" ht="45" x14ac:dyDescent="0.25">
      <c r="A50" s="36">
        <v>41402</v>
      </c>
      <c r="B50" s="121">
        <v>0.71866898148148151</v>
      </c>
      <c r="C50" s="841" t="s">
        <v>1207</v>
      </c>
    </row>
    <row r="51" spans="1:3" x14ac:dyDescent="0.25">
      <c r="A51" s="36">
        <v>41402</v>
      </c>
      <c r="B51" s="121">
        <v>0.72069444444444442</v>
      </c>
      <c r="C51" s="26" t="s">
        <v>1208</v>
      </c>
    </row>
    <row r="52" spans="1:3" x14ac:dyDescent="0.25">
      <c r="A52" s="36">
        <v>41402</v>
      </c>
      <c r="B52" s="121">
        <v>0.72099537037037031</v>
      </c>
      <c r="C52" s="26" t="s">
        <v>1209</v>
      </c>
    </row>
    <row r="53" spans="1:3" x14ac:dyDescent="0.25">
      <c r="A53" s="36">
        <v>41402</v>
      </c>
      <c r="B53" s="121">
        <v>0.72193287037037035</v>
      </c>
      <c r="C53" s="26" t="s">
        <v>1210</v>
      </c>
    </row>
    <row r="54" spans="1:3" ht="45" x14ac:dyDescent="0.25">
      <c r="A54" s="36">
        <v>41402</v>
      </c>
      <c r="B54" s="121">
        <v>0.72344907407407411</v>
      </c>
      <c r="C54" s="841" t="s">
        <v>1211</v>
      </c>
    </row>
    <row r="55" spans="1:3" x14ac:dyDescent="0.25">
      <c r="A55" s="36">
        <v>41402</v>
      </c>
      <c r="B55" s="121">
        <v>0.72452546296296294</v>
      </c>
      <c r="C55" s="26" t="s">
        <v>1212</v>
      </c>
    </row>
    <row r="56" spans="1:3" ht="45" x14ac:dyDescent="0.25">
      <c r="A56" s="36">
        <v>41402</v>
      </c>
      <c r="B56" s="121">
        <v>0.72468749999999993</v>
      </c>
      <c r="C56" s="841" t="s">
        <v>1213</v>
      </c>
    </row>
    <row r="57" spans="1:3" x14ac:dyDescent="0.25">
      <c r="A57" s="36">
        <v>41402</v>
      </c>
      <c r="B57" s="121">
        <v>0.72525462962962972</v>
      </c>
      <c r="C57" s="26" t="s">
        <v>1214</v>
      </c>
    </row>
    <row r="58" spans="1:3" x14ac:dyDescent="0.25">
      <c r="A58" s="36">
        <v>41402</v>
      </c>
      <c r="B58" s="121">
        <v>0.72525462962962972</v>
      </c>
      <c r="C58" s="26" t="s">
        <v>1215</v>
      </c>
    </row>
    <row r="59" spans="1:3" x14ac:dyDescent="0.25">
      <c r="A59" s="36">
        <v>41402</v>
      </c>
      <c r="B59" s="121">
        <v>0.72525462962962972</v>
      </c>
      <c r="C59" s="26" t="s">
        <v>1216</v>
      </c>
    </row>
    <row r="60" spans="1:3" x14ac:dyDescent="0.25">
      <c r="A60" s="36">
        <v>41402</v>
      </c>
      <c r="B60" s="121">
        <v>0.72525462962962972</v>
      </c>
      <c r="C60" s="26" t="s">
        <v>1215</v>
      </c>
    </row>
    <row r="61" spans="1:3" x14ac:dyDescent="0.25">
      <c r="A61" s="36">
        <v>41402</v>
      </c>
      <c r="B61" s="121">
        <v>0.72525462962962972</v>
      </c>
      <c r="C61" s="26" t="s">
        <v>1217</v>
      </c>
    </row>
    <row r="62" spans="1:3" x14ac:dyDescent="0.25">
      <c r="A62" s="36">
        <v>41402</v>
      </c>
      <c r="B62" s="121">
        <v>0.72525462962962972</v>
      </c>
      <c r="C62" s="26" t="s">
        <v>1217</v>
      </c>
    </row>
    <row r="63" spans="1:3" x14ac:dyDescent="0.25">
      <c r="A63" s="36">
        <v>41402</v>
      </c>
      <c r="B63" s="121">
        <v>0.72525462962962972</v>
      </c>
      <c r="C63" s="26" t="s">
        <v>1218</v>
      </c>
    </row>
    <row r="64" spans="1:3" x14ac:dyDescent="0.25">
      <c r="A64" s="36">
        <v>41402</v>
      </c>
      <c r="B64" s="121">
        <v>0.72525462962962972</v>
      </c>
      <c r="C64" s="26" t="s">
        <v>1219</v>
      </c>
    </row>
    <row r="65" spans="1:3" x14ac:dyDescent="0.25">
      <c r="A65" s="36">
        <v>41402</v>
      </c>
      <c r="B65" s="121">
        <v>0.72525462962962972</v>
      </c>
      <c r="C65" s="26" t="s">
        <v>1220</v>
      </c>
    </row>
    <row r="66" spans="1:3" x14ac:dyDescent="0.25">
      <c r="A66" s="36">
        <v>41402</v>
      </c>
      <c r="B66" s="121">
        <v>0.72525462962962972</v>
      </c>
      <c r="C66" s="26" t="s">
        <v>1221</v>
      </c>
    </row>
    <row r="67" spans="1:3" x14ac:dyDescent="0.25">
      <c r="A67" s="36">
        <v>41402</v>
      </c>
      <c r="B67" s="121">
        <v>0.72525462962962972</v>
      </c>
      <c r="C67" s="26" t="s">
        <v>1222</v>
      </c>
    </row>
    <row r="68" spans="1:3" x14ac:dyDescent="0.25">
      <c r="A68" s="36">
        <v>41402</v>
      </c>
      <c r="B68" s="121">
        <v>0.72525462962962972</v>
      </c>
      <c r="C68" s="26" t="s">
        <v>1223</v>
      </c>
    </row>
    <row r="69" spans="1:3" x14ac:dyDescent="0.25">
      <c r="A69" s="36">
        <v>41402</v>
      </c>
      <c r="B69" s="121">
        <v>0.72525462962962972</v>
      </c>
      <c r="C69" s="26" t="s">
        <v>1215</v>
      </c>
    </row>
    <row r="70" spans="1:3" x14ac:dyDescent="0.25">
      <c r="A70" s="36">
        <v>41402</v>
      </c>
      <c r="B70" s="121">
        <v>0.72525462962962972</v>
      </c>
      <c r="C70" s="26" t="s">
        <v>1224</v>
      </c>
    </row>
    <row r="71" spans="1:3" x14ac:dyDescent="0.25">
      <c r="A71" s="36">
        <v>41402</v>
      </c>
      <c r="B71" s="121">
        <v>0.72525462962962972</v>
      </c>
      <c r="C71" s="26" t="s">
        <v>1224</v>
      </c>
    </row>
    <row r="72" spans="1:3" x14ac:dyDescent="0.25">
      <c r="A72" s="36">
        <v>41402</v>
      </c>
      <c r="B72" s="121">
        <v>0.72525462962962972</v>
      </c>
      <c r="C72" s="26" t="s">
        <v>1225</v>
      </c>
    </row>
    <row r="73" spans="1:3" x14ac:dyDescent="0.25">
      <c r="A73" s="36">
        <v>41402</v>
      </c>
      <c r="B73" s="121">
        <v>0.72525462962962972</v>
      </c>
      <c r="C73" s="26" t="s">
        <v>1220</v>
      </c>
    </row>
    <row r="74" spans="1:3" x14ac:dyDescent="0.25">
      <c r="A74" s="36">
        <v>41402</v>
      </c>
      <c r="B74" s="121">
        <v>0.72525462962962972</v>
      </c>
      <c r="C74" s="26" t="s">
        <v>1220</v>
      </c>
    </row>
    <row r="75" spans="1:3" x14ac:dyDescent="0.25">
      <c r="A75" s="36">
        <v>41402</v>
      </c>
      <c r="B75" s="121">
        <v>0.72525462962962972</v>
      </c>
      <c r="C75" s="26" t="s">
        <v>1226</v>
      </c>
    </row>
    <row r="76" spans="1:3" x14ac:dyDescent="0.25">
      <c r="A76" s="36">
        <v>41402</v>
      </c>
      <c r="B76" s="121">
        <v>0.72525462962962972</v>
      </c>
      <c r="C76" s="26" t="s">
        <v>1227</v>
      </c>
    </row>
    <row r="77" spans="1:3" x14ac:dyDescent="0.25">
      <c r="A77" s="36">
        <v>41402</v>
      </c>
      <c r="B77" s="121">
        <v>0.72525462962962972</v>
      </c>
      <c r="C77" s="26" t="s">
        <v>1227</v>
      </c>
    </row>
    <row r="78" spans="1:3" x14ac:dyDescent="0.25">
      <c r="A78" s="36">
        <v>41402</v>
      </c>
      <c r="B78" s="121">
        <v>0.72525462962962972</v>
      </c>
      <c r="C78" s="26" t="s">
        <v>1224</v>
      </c>
    </row>
    <row r="79" spans="1:3" x14ac:dyDescent="0.25">
      <c r="A79" s="36">
        <v>41402</v>
      </c>
      <c r="B79" s="121">
        <v>0.72525462962962972</v>
      </c>
      <c r="C79" s="26" t="s">
        <v>1228</v>
      </c>
    </row>
    <row r="80" spans="1:3" x14ac:dyDescent="0.25">
      <c r="A80" s="36">
        <v>41402</v>
      </c>
      <c r="B80" s="121">
        <v>0.72526620370370365</v>
      </c>
      <c r="C80" s="26" t="s">
        <v>1229</v>
      </c>
    </row>
    <row r="81" spans="1:3" x14ac:dyDescent="0.25">
      <c r="A81" s="36">
        <v>41402</v>
      </c>
      <c r="B81" s="121">
        <v>0.72585648148148152</v>
      </c>
      <c r="C81" s="26" t="s">
        <v>1230</v>
      </c>
    </row>
    <row r="82" spans="1:3" x14ac:dyDescent="0.25">
      <c r="A82" s="36">
        <v>41402</v>
      </c>
      <c r="B82" s="121">
        <v>0.72585648148148152</v>
      </c>
      <c r="C82" s="26" t="s">
        <v>1231</v>
      </c>
    </row>
    <row r="83" spans="1:3" x14ac:dyDescent="0.25">
      <c r="A83" s="36">
        <v>41402</v>
      </c>
      <c r="B83" s="121">
        <v>0.72585648148148152</v>
      </c>
      <c r="C83" s="26" t="s">
        <v>1232</v>
      </c>
    </row>
    <row r="84" spans="1:3" x14ac:dyDescent="0.25">
      <c r="A84" s="36">
        <v>41402</v>
      </c>
      <c r="B84" s="121">
        <v>0.72585648148148152</v>
      </c>
      <c r="C84" s="26" t="s">
        <v>1233</v>
      </c>
    </row>
    <row r="85" spans="1:3" x14ac:dyDescent="0.25">
      <c r="A85" s="36">
        <v>41402</v>
      </c>
      <c r="B85" s="121">
        <v>0.72585648148148152</v>
      </c>
      <c r="C85" s="26" t="s">
        <v>1234</v>
      </c>
    </row>
    <row r="86" spans="1:3" x14ac:dyDescent="0.25">
      <c r="A86" s="36">
        <v>41402</v>
      </c>
      <c r="B86" s="121">
        <v>0.72585648148148152</v>
      </c>
      <c r="C86" s="26" t="s">
        <v>1235</v>
      </c>
    </row>
    <row r="87" spans="1:3" x14ac:dyDescent="0.25">
      <c r="A87" s="36">
        <v>41402</v>
      </c>
      <c r="B87" s="121">
        <v>0.72585648148148152</v>
      </c>
      <c r="C87" s="26" t="s">
        <v>1236</v>
      </c>
    </row>
    <row r="88" spans="1:3" x14ac:dyDescent="0.25">
      <c r="A88" s="36">
        <v>41402</v>
      </c>
      <c r="B88" s="121">
        <v>0.72585648148148152</v>
      </c>
      <c r="C88" s="26" t="s">
        <v>1237</v>
      </c>
    </row>
    <row r="89" spans="1:3" x14ac:dyDescent="0.25">
      <c r="A89" s="36">
        <v>41402</v>
      </c>
      <c r="B89" s="121">
        <v>0.72585648148148152</v>
      </c>
      <c r="C89" s="26" t="s">
        <v>1238</v>
      </c>
    </row>
    <row r="90" spans="1:3" x14ac:dyDescent="0.25">
      <c r="A90" s="36">
        <v>41402</v>
      </c>
      <c r="B90" s="121">
        <v>0.72585648148148152</v>
      </c>
      <c r="C90" s="26" t="s">
        <v>1239</v>
      </c>
    </row>
    <row r="91" spans="1:3" x14ac:dyDescent="0.25">
      <c r="A91" s="36">
        <v>41402</v>
      </c>
      <c r="B91" s="121">
        <v>0.72585648148148152</v>
      </c>
      <c r="C91" s="26" t="s">
        <v>1240</v>
      </c>
    </row>
    <row r="92" spans="1:3" x14ac:dyDescent="0.25">
      <c r="A92" s="36">
        <v>41402</v>
      </c>
      <c r="B92" s="121">
        <v>0.72585648148148152</v>
      </c>
      <c r="C92" s="26" t="s">
        <v>1241</v>
      </c>
    </row>
    <row r="93" spans="1:3" x14ac:dyDescent="0.25">
      <c r="A93" s="36">
        <v>41402</v>
      </c>
      <c r="B93" s="121">
        <v>0.72585648148148152</v>
      </c>
      <c r="C93" s="26" t="s">
        <v>1242</v>
      </c>
    </row>
    <row r="94" spans="1:3" x14ac:dyDescent="0.25">
      <c r="A94" s="36">
        <v>41402</v>
      </c>
      <c r="B94" s="121">
        <v>0.72585648148148152</v>
      </c>
      <c r="C94" s="26" t="s">
        <v>1243</v>
      </c>
    </row>
    <row r="95" spans="1:3" x14ac:dyDescent="0.25">
      <c r="A95" s="36">
        <v>41402</v>
      </c>
      <c r="B95" s="121">
        <v>0.72586805555555556</v>
      </c>
      <c r="C95" s="26" t="s">
        <v>1244</v>
      </c>
    </row>
    <row r="96" spans="1:3" x14ac:dyDescent="0.25">
      <c r="A96" s="36">
        <v>41402</v>
      </c>
      <c r="B96" s="121">
        <v>0.72586805555555556</v>
      </c>
      <c r="C96" s="26" t="s">
        <v>1245</v>
      </c>
    </row>
    <row r="97" spans="1:3" x14ac:dyDescent="0.25">
      <c r="A97" s="36">
        <v>41402</v>
      </c>
      <c r="B97" s="121">
        <v>0.72586805555555556</v>
      </c>
      <c r="C97" s="26" t="s">
        <v>1246</v>
      </c>
    </row>
    <row r="98" spans="1:3" x14ac:dyDescent="0.25">
      <c r="A98" s="36">
        <v>41402</v>
      </c>
      <c r="B98" s="121">
        <v>0.72586805555555556</v>
      </c>
      <c r="C98" s="26" t="s">
        <v>1247</v>
      </c>
    </row>
    <row r="99" spans="1:3" x14ac:dyDescent="0.25">
      <c r="A99" s="36">
        <v>41402</v>
      </c>
      <c r="B99" s="121">
        <v>0.72586805555555556</v>
      </c>
      <c r="C99" s="26" t="s">
        <v>1234</v>
      </c>
    </row>
    <row r="100" spans="1:3" x14ac:dyDescent="0.25">
      <c r="A100" s="36">
        <v>41402</v>
      </c>
      <c r="B100" s="121">
        <v>0.72586805555555556</v>
      </c>
      <c r="C100" s="26" t="s">
        <v>1248</v>
      </c>
    </row>
    <row r="101" spans="1:3" x14ac:dyDescent="0.25">
      <c r="A101" s="36">
        <v>41402</v>
      </c>
      <c r="B101" s="121">
        <v>0.72586805555555556</v>
      </c>
      <c r="C101" s="26" t="s">
        <v>1249</v>
      </c>
    </row>
    <row r="102" spans="1:3" x14ac:dyDescent="0.25">
      <c r="A102" s="36">
        <v>41402</v>
      </c>
      <c r="B102" s="121">
        <v>0.72586805555555556</v>
      </c>
      <c r="C102" s="26" t="s">
        <v>1250</v>
      </c>
    </row>
    <row r="103" spans="1:3" x14ac:dyDescent="0.25">
      <c r="A103" s="36">
        <v>41402</v>
      </c>
      <c r="B103" s="121">
        <v>0.72586805555555556</v>
      </c>
      <c r="C103" s="26" t="s">
        <v>1251</v>
      </c>
    </row>
    <row r="104" spans="1:3" x14ac:dyDescent="0.25">
      <c r="A104" s="36">
        <v>41402</v>
      </c>
      <c r="B104" s="121">
        <v>0.72586805555555556</v>
      </c>
      <c r="C104" s="26" t="s">
        <v>1252</v>
      </c>
    </row>
    <row r="105" spans="1:3" x14ac:dyDescent="0.25">
      <c r="A105" s="36">
        <v>41402</v>
      </c>
      <c r="B105" s="121">
        <v>0.72586805555555556</v>
      </c>
      <c r="C105" s="26" t="s">
        <v>1253</v>
      </c>
    </row>
    <row r="106" spans="1:3" x14ac:dyDescent="0.25">
      <c r="A106" s="36">
        <v>41402</v>
      </c>
      <c r="B106" s="121">
        <v>0.72586805555555556</v>
      </c>
      <c r="C106" s="26" t="s">
        <v>1254</v>
      </c>
    </row>
    <row r="107" spans="1:3" x14ac:dyDescent="0.25">
      <c r="A107" s="36">
        <v>41402</v>
      </c>
      <c r="B107" s="121">
        <v>0.72586805555555556</v>
      </c>
      <c r="C107" s="26" t="s">
        <v>1255</v>
      </c>
    </row>
    <row r="108" spans="1:3" x14ac:dyDescent="0.25">
      <c r="A108" s="36">
        <v>41402</v>
      </c>
      <c r="B108" s="121">
        <v>0.72586805555555556</v>
      </c>
      <c r="C108" s="26" t="s">
        <v>1256</v>
      </c>
    </row>
    <row r="109" spans="1:3" x14ac:dyDescent="0.25">
      <c r="A109" s="36">
        <v>41402</v>
      </c>
      <c r="B109" s="121">
        <v>0.72586805555555556</v>
      </c>
      <c r="C109" s="26" t="s">
        <v>1257</v>
      </c>
    </row>
    <row r="110" spans="1:3" x14ac:dyDescent="0.25">
      <c r="A110" s="36">
        <v>41402</v>
      </c>
      <c r="B110" s="121">
        <v>0.72586805555555556</v>
      </c>
      <c r="C110" s="26" t="s">
        <v>1237</v>
      </c>
    </row>
    <row r="111" spans="1:3" x14ac:dyDescent="0.25">
      <c r="A111" s="36">
        <v>41402</v>
      </c>
      <c r="B111" s="121">
        <v>0.72586805555555556</v>
      </c>
      <c r="C111" s="26" t="s">
        <v>1258</v>
      </c>
    </row>
    <row r="112" spans="1:3" x14ac:dyDescent="0.25">
      <c r="A112" s="36">
        <v>41402</v>
      </c>
      <c r="B112" s="121">
        <v>0.72586805555555556</v>
      </c>
      <c r="C112" s="26" t="s">
        <v>1259</v>
      </c>
    </row>
    <row r="113" spans="1:3" x14ac:dyDescent="0.25">
      <c r="A113" s="36">
        <v>41402</v>
      </c>
      <c r="B113" s="121">
        <v>0.72586805555555556</v>
      </c>
      <c r="C113" s="26" t="s">
        <v>1260</v>
      </c>
    </row>
    <row r="114" spans="1:3" x14ac:dyDescent="0.25">
      <c r="A114" s="36">
        <v>41402</v>
      </c>
      <c r="B114" s="121">
        <v>0.72586805555555556</v>
      </c>
      <c r="C114" s="26" t="s">
        <v>1261</v>
      </c>
    </row>
    <row r="115" spans="1:3" x14ac:dyDescent="0.25">
      <c r="A115" s="36">
        <v>41402</v>
      </c>
      <c r="B115" s="121">
        <v>0.72586805555555556</v>
      </c>
      <c r="C115" s="26" t="s">
        <v>1261</v>
      </c>
    </row>
    <row r="116" spans="1:3" x14ac:dyDescent="0.25">
      <c r="A116" s="36">
        <v>41402</v>
      </c>
      <c r="B116" s="121">
        <v>0.72586805555555556</v>
      </c>
      <c r="C116" s="26" t="s">
        <v>1262</v>
      </c>
    </row>
    <row r="117" spans="1:3" x14ac:dyDescent="0.25">
      <c r="A117" s="36">
        <v>41402</v>
      </c>
      <c r="B117" s="121">
        <v>0.72586805555555556</v>
      </c>
      <c r="C117" s="26" t="s">
        <v>1261</v>
      </c>
    </row>
    <row r="118" spans="1:3" x14ac:dyDescent="0.25">
      <c r="A118" s="36">
        <v>41402</v>
      </c>
      <c r="B118" s="121">
        <v>0.72586805555555556</v>
      </c>
      <c r="C118" s="26" t="s">
        <v>1261</v>
      </c>
    </row>
    <row r="119" spans="1:3" x14ac:dyDescent="0.25">
      <c r="A119" s="36">
        <v>41402</v>
      </c>
      <c r="B119" s="121">
        <v>0.72586805555555556</v>
      </c>
      <c r="C119" s="26" t="s">
        <v>1237</v>
      </c>
    </row>
    <row r="120" spans="1:3" x14ac:dyDescent="0.25">
      <c r="A120" s="36">
        <v>41402</v>
      </c>
      <c r="B120" s="121">
        <v>0.72586805555555556</v>
      </c>
      <c r="C120" s="26" t="s">
        <v>1263</v>
      </c>
    </row>
    <row r="121" spans="1:3" x14ac:dyDescent="0.25">
      <c r="A121" s="36">
        <v>41402</v>
      </c>
      <c r="B121" s="121">
        <v>0.72586805555555556</v>
      </c>
      <c r="C121" s="26" t="s">
        <v>1255</v>
      </c>
    </row>
    <row r="122" spans="1:3" x14ac:dyDescent="0.25">
      <c r="A122" s="36">
        <v>41402</v>
      </c>
      <c r="B122" s="121">
        <v>0.72586805555555556</v>
      </c>
      <c r="C122" s="26" t="s">
        <v>1255</v>
      </c>
    </row>
    <row r="123" spans="1:3" x14ac:dyDescent="0.25">
      <c r="A123" s="36">
        <v>41402</v>
      </c>
      <c r="B123" s="121">
        <v>0.72586805555555556</v>
      </c>
      <c r="C123" s="26" t="s">
        <v>1264</v>
      </c>
    </row>
    <row r="124" spans="1:3" x14ac:dyDescent="0.25">
      <c r="A124" s="36">
        <v>41402</v>
      </c>
      <c r="B124" s="121">
        <v>0.7258796296296296</v>
      </c>
      <c r="C124" s="26" t="s">
        <v>1255</v>
      </c>
    </row>
    <row r="125" spans="1:3" x14ac:dyDescent="0.25">
      <c r="A125" s="36">
        <v>41402</v>
      </c>
      <c r="B125" s="121">
        <v>0.7258796296296296</v>
      </c>
      <c r="C125" s="26" t="s">
        <v>1253</v>
      </c>
    </row>
    <row r="126" spans="1:3" x14ac:dyDescent="0.25">
      <c r="A126" s="36">
        <v>41402</v>
      </c>
      <c r="B126" s="121">
        <v>0.7258796296296296</v>
      </c>
      <c r="C126" s="26" t="s">
        <v>1261</v>
      </c>
    </row>
    <row r="127" spans="1:3" x14ac:dyDescent="0.25">
      <c r="A127" s="36">
        <v>41402</v>
      </c>
      <c r="B127" s="121">
        <v>0.7258796296296296</v>
      </c>
      <c r="C127" s="26" t="s">
        <v>1265</v>
      </c>
    </row>
    <row r="128" spans="1:3" x14ac:dyDescent="0.25">
      <c r="A128" s="36">
        <v>41402</v>
      </c>
      <c r="B128" s="121">
        <v>0.7258796296296296</v>
      </c>
      <c r="C128" s="26" t="s">
        <v>1266</v>
      </c>
    </row>
    <row r="129" spans="1:3" x14ac:dyDescent="0.25">
      <c r="A129" s="36">
        <v>41402</v>
      </c>
      <c r="B129" s="121">
        <v>0.7258796296296296</v>
      </c>
      <c r="C129" s="26" t="s">
        <v>1267</v>
      </c>
    </row>
    <row r="130" spans="1:3" x14ac:dyDescent="0.25">
      <c r="A130" s="36">
        <v>41402</v>
      </c>
      <c r="B130" s="121">
        <v>0.7258796296296296</v>
      </c>
      <c r="C130" s="26" t="s">
        <v>1261</v>
      </c>
    </row>
    <row r="131" spans="1:3" x14ac:dyDescent="0.25">
      <c r="A131" s="36">
        <v>41402</v>
      </c>
      <c r="B131" s="121">
        <v>0.7258796296296296</v>
      </c>
      <c r="C131" s="26" t="s">
        <v>1268</v>
      </c>
    </row>
    <row r="132" spans="1:3" x14ac:dyDescent="0.25">
      <c r="A132" s="36">
        <v>41402</v>
      </c>
      <c r="B132" s="121">
        <v>0.7258796296296296</v>
      </c>
      <c r="C132" s="26" t="s">
        <v>1269</v>
      </c>
    </row>
    <row r="133" spans="1:3" x14ac:dyDescent="0.25">
      <c r="A133" s="36">
        <v>41402</v>
      </c>
      <c r="B133" s="121">
        <v>0.7258796296296296</v>
      </c>
      <c r="C133" s="26" t="s">
        <v>1270</v>
      </c>
    </row>
    <row r="134" spans="1:3" x14ac:dyDescent="0.25">
      <c r="A134" s="36">
        <v>41402</v>
      </c>
      <c r="B134" s="121">
        <v>0.7258796296296296</v>
      </c>
      <c r="C134" s="26" t="s">
        <v>1271</v>
      </c>
    </row>
    <row r="135" spans="1:3" x14ac:dyDescent="0.25">
      <c r="A135" s="36">
        <v>41402</v>
      </c>
      <c r="B135" s="121">
        <v>0.7258796296296296</v>
      </c>
      <c r="C135" s="26" t="s">
        <v>1272</v>
      </c>
    </row>
    <row r="136" spans="1:3" x14ac:dyDescent="0.25">
      <c r="A136" s="36">
        <v>41402</v>
      </c>
      <c r="B136" s="121">
        <v>0.7258796296296296</v>
      </c>
      <c r="C136" s="26" t="s">
        <v>1273</v>
      </c>
    </row>
    <row r="137" spans="1:3" x14ac:dyDescent="0.25">
      <c r="A137" s="36">
        <v>41402</v>
      </c>
      <c r="B137" s="121">
        <v>0.7258796296296296</v>
      </c>
      <c r="C137" s="26" t="s">
        <v>1274</v>
      </c>
    </row>
    <row r="138" spans="1:3" x14ac:dyDescent="0.25">
      <c r="A138" s="36">
        <v>41402</v>
      </c>
      <c r="B138" s="121">
        <v>0.7258796296296296</v>
      </c>
      <c r="C138" s="26" t="s">
        <v>1275</v>
      </c>
    </row>
    <row r="139" spans="1:3" x14ac:dyDescent="0.25">
      <c r="A139" s="36">
        <v>41402</v>
      </c>
      <c r="B139" s="121">
        <v>0.7258796296296296</v>
      </c>
      <c r="C139" s="26" t="s">
        <v>1276</v>
      </c>
    </row>
    <row r="140" spans="1:3" x14ac:dyDescent="0.25">
      <c r="A140" s="36">
        <v>41402</v>
      </c>
      <c r="B140" s="121">
        <v>0.7258796296296296</v>
      </c>
      <c r="C140" s="26" t="s">
        <v>1277</v>
      </c>
    </row>
    <row r="141" spans="1:3" x14ac:dyDescent="0.25">
      <c r="A141" s="36">
        <v>41402</v>
      </c>
      <c r="B141" s="121">
        <v>0.7258796296296296</v>
      </c>
      <c r="C141" s="26" t="s">
        <v>1278</v>
      </c>
    </row>
    <row r="142" spans="1:3" x14ac:dyDescent="0.25">
      <c r="A142" s="36">
        <v>41402</v>
      </c>
      <c r="B142" s="121">
        <v>0.7258796296296296</v>
      </c>
      <c r="C142" s="26" t="s">
        <v>1261</v>
      </c>
    </row>
    <row r="143" spans="1:3" x14ac:dyDescent="0.25">
      <c r="A143" s="36">
        <v>41402</v>
      </c>
      <c r="B143" s="121">
        <v>0.7258796296296296</v>
      </c>
      <c r="C143" s="26" t="s">
        <v>1278</v>
      </c>
    </row>
    <row r="144" spans="1:3" x14ac:dyDescent="0.25">
      <c r="A144" s="36">
        <v>41402</v>
      </c>
      <c r="B144" s="121">
        <v>0.7258796296296296</v>
      </c>
      <c r="C144" s="26" t="s">
        <v>1279</v>
      </c>
    </row>
    <row r="145" spans="1:3" x14ac:dyDescent="0.25">
      <c r="A145" s="36">
        <v>41402</v>
      </c>
      <c r="B145" s="121">
        <v>0.7258796296296296</v>
      </c>
      <c r="C145" s="26" t="s">
        <v>1278</v>
      </c>
    </row>
    <row r="146" spans="1:3" x14ac:dyDescent="0.25">
      <c r="A146" s="36">
        <v>41402</v>
      </c>
      <c r="B146" s="121">
        <v>0.7258796296296296</v>
      </c>
      <c r="C146" s="26" t="s">
        <v>1278</v>
      </c>
    </row>
    <row r="147" spans="1:3" x14ac:dyDescent="0.25">
      <c r="A147" s="36">
        <v>41402</v>
      </c>
      <c r="B147" s="121">
        <v>0.7258796296296296</v>
      </c>
      <c r="C147" s="26" t="s">
        <v>1280</v>
      </c>
    </row>
    <row r="148" spans="1:3" x14ac:dyDescent="0.25">
      <c r="A148" s="36">
        <v>41402</v>
      </c>
      <c r="B148" s="121">
        <v>0.7258796296296296</v>
      </c>
      <c r="C148" s="26" t="s">
        <v>1281</v>
      </c>
    </row>
    <row r="149" spans="1:3" x14ac:dyDescent="0.25">
      <c r="A149" s="36">
        <v>41402</v>
      </c>
      <c r="B149" s="121">
        <v>0.7258796296296296</v>
      </c>
      <c r="C149" s="26" t="s">
        <v>1282</v>
      </c>
    </row>
    <row r="150" spans="1:3" x14ac:dyDescent="0.25">
      <c r="A150" s="36">
        <v>41402</v>
      </c>
      <c r="B150" s="121">
        <v>0.7258796296296296</v>
      </c>
      <c r="C150" s="26" t="s">
        <v>1283</v>
      </c>
    </row>
    <row r="151" spans="1:3" x14ac:dyDescent="0.25">
      <c r="A151" s="36">
        <v>41402</v>
      </c>
      <c r="B151" s="121">
        <v>0.7258796296296296</v>
      </c>
      <c r="C151" s="26" t="s">
        <v>1284</v>
      </c>
    </row>
    <row r="152" spans="1:3" x14ac:dyDescent="0.25">
      <c r="A152" s="36">
        <v>41402</v>
      </c>
      <c r="B152" s="121">
        <v>0.7258796296296296</v>
      </c>
      <c r="C152" s="26" t="s">
        <v>1285</v>
      </c>
    </row>
    <row r="153" spans="1:3" x14ac:dyDescent="0.25">
      <c r="A153" s="36">
        <v>41402</v>
      </c>
      <c r="B153" s="121">
        <v>0.7258796296296296</v>
      </c>
      <c r="C153" s="26" t="s">
        <v>1285</v>
      </c>
    </row>
    <row r="154" spans="1:3" x14ac:dyDescent="0.25">
      <c r="A154" s="36">
        <v>41402</v>
      </c>
      <c r="B154" s="121">
        <v>0.7258796296296296</v>
      </c>
      <c r="C154" s="26" t="s">
        <v>1286</v>
      </c>
    </row>
    <row r="155" spans="1:3" x14ac:dyDescent="0.25">
      <c r="A155" s="36">
        <v>41402</v>
      </c>
      <c r="B155" s="121">
        <v>0.7258796296296296</v>
      </c>
      <c r="C155" s="26" t="s">
        <v>1287</v>
      </c>
    </row>
    <row r="156" spans="1:3" x14ac:dyDescent="0.25">
      <c r="A156" s="36">
        <v>41402</v>
      </c>
      <c r="B156" s="121">
        <v>0.7258796296296296</v>
      </c>
      <c r="C156" s="26" t="s">
        <v>1288</v>
      </c>
    </row>
    <row r="157" spans="1:3" x14ac:dyDescent="0.25">
      <c r="A157" s="36">
        <v>41402</v>
      </c>
      <c r="B157" s="121">
        <v>0.7258796296296296</v>
      </c>
      <c r="C157" s="26" t="s">
        <v>1289</v>
      </c>
    </row>
    <row r="158" spans="1:3" x14ac:dyDescent="0.25">
      <c r="A158" s="36">
        <v>41402</v>
      </c>
      <c r="B158" s="121">
        <v>0.7258796296296296</v>
      </c>
      <c r="C158" s="26" t="s">
        <v>1290</v>
      </c>
    </row>
    <row r="159" spans="1:3" x14ac:dyDescent="0.25">
      <c r="A159" s="36">
        <v>41402</v>
      </c>
      <c r="B159" s="121">
        <v>0.7258796296296296</v>
      </c>
      <c r="C159" s="26" t="s">
        <v>1264</v>
      </c>
    </row>
    <row r="160" spans="1:3" x14ac:dyDescent="0.25">
      <c r="A160" s="36">
        <v>41402</v>
      </c>
      <c r="B160" s="121">
        <v>0.7258796296296296</v>
      </c>
      <c r="C160" s="26" t="s">
        <v>1291</v>
      </c>
    </row>
    <row r="161" spans="1:3" x14ac:dyDescent="0.25">
      <c r="A161" s="36">
        <v>41402</v>
      </c>
      <c r="B161" s="121">
        <v>0.7258796296296296</v>
      </c>
      <c r="C161" s="26" t="s">
        <v>1292</v>
      </c>
    </row>
    <row r="162" spans="1:3" x14ac:dyDescent="0.25">
      <c r="A162" s="36">
        <v>41402</v>
      </c>
      <c r="B162" s="121">
        <v>0.7258796296296296</v>
      </c>
      <c r="C162" s="26" t="s">
        <v>1293</v>
      </c>
    </row>
    <row r="163" spans="1:3" x14ac:dyDescent="0.25">
      <c r="A163" s="36">
        <v>41402</v>
      </c>
      <c r="B163" s="121">
        <v>0.7258796296296296</v>
      </c>
      <c r="C163" s="26" t="s">
        <v>1294</v>
      </c>
    </row>
    <row r="164" spans="1:3" x14ac:dyDescent="0.25">
      <c r="A164" s="36">
        <v>41402</v>
      </c>
      <c r="B164" s="121">
        <v>0.7258796296296296</v>
      </c>
      <c r="C164" s="26" t="s">
        <v>1295</v>
      </c>
    </row>
    <row r="165" spans="1:3" x14ac:dyDescent="0.25">
      <c r="A165" s="36">
        <v>41402</v>
      </c>
      <c r="B165" s="121">
        <v>0.7258796296296296</v>
      </c>
      <c r="C165" s="26" t="s">
        <v>1296</v>
      </c>
    </row>
    <row r="166" spans="1:3" x14ac:dyDescent="0.25">
      <c r="A166" s="36">
        <v>41402</v>
      </c>
      <c r="B166" s="121">
        <v>0.7258796296296296</v>
      </c>
      <c r="C166" s="26" t="s">
        <v>1297</v>
      </c>
    </row>
    <row r="167" spans="1:3" x14ac:dyDescent="0.25">
      <c r="A167" s="36">
        <v>41402</v>
      </c>
      <c r="B167" s="121">
        <v>0.7258796296296296</v>
      </c>
      <c r="C167" s="26" t="s">
        <v>1298</v>
      </c>
    </row>
    <row r="168" spans="1:3" x14ac:dyDescent="0.25">
      <c r="A168" s="36">
        <v>41402</v>
      </c>
      <c r="B168" s="121">
        <v>0.7258796296296296</v>
      </c>
      <c r="C168" s="26" t="s">
        <v>1299</v>
      </c>
    </row>
    <row r="169" spans="1:3" x14ac:dyDescent="0.25">
      <c r="A169" s="36">
        <v>41402</v>
      </c>
      <c r="B169" s="121">
        <v>0.7258796296296296</v>
      </c>
      <c r="C169" s="26" t="s">
        <v>1300</v>
      </c>
    </row>
    <row r="170" spans="1:3" x14ac:dyDescent="0.25">
      <c r="A170" s="36">
        <v>41402</v>
      </c>
      <c r="B170" s="121">
        <v>0.7258796296296296</v>
      </c>
      <c r="C170" s="26" t="s">
        <v>1301</v>
      </c>
    </row>
    <row r="171" spans="1:3" x14ac:dyDescent="0.25">
      <c r="A171" s="36">
        <v>41402</v>
      </c>
      <c r="B171" s="121">
        <v>0.7258796296296296</v>
      </c>
      <c r="C171" s="26" t="s">
        <v>1268</v>
      </c>
    </row>
    <row r="172" spans="1:3" x14ac:dyDescent="0.25">
      <c r="A172" s="36">
        <v>41402</v>
      </c>
      <c r="B172" s="121">
        <v>0.7258796296296296</v>
      </c>
      <c r="C172" s="26" t="s">
        <v>1302</v>
      </c>
    </row>
    <row r="173" spans="1:3" x14ac:dyDescent="0.25">
      <c r="A173" s="36">
        <v>41402</v>
      </c>
      <c r="B173" s="121">
        <v>0.7258796296296296</v>
      </c>
      <c r="C173" s="26" t="s">
        <v>1303</v>
      </c>
    </row>
    <row r="174" spans="1:3" x14ac:dyDescent="0.25">
      <c r="A174" s="36">
        <v>41402</v>
      </c>
      <c r="B174" s="121">
        <v>0.7258796296296296</v>
      </c>
      <c r="C174" s="26" t="s">
        <v>1304</v>
      </c>
    </row>
    <row r="175" spans="1:3" x14ac:dyDescent="0.25">
      <c r="A175" s="36">
        <v>41402</v>
      </c>
      <c r="B175" s="121">
        <v>0.7258796296296296</v>
      </c>
      <c r="C175" s="26" t="s">
        <v>1305</v>
      </c>
    </row>
    <row r="176" spans="1:3" x14ac:dyDescent="0.25">
      <c r="A176" s="36">
        <v>41402</v>
      </c>
      <c r="B176" s="121">
        <v>0.7258796296296296</v>
      </c>
      <c r="C176" s="26" t="s">
        <v>1253</v>
      </c>
    </row>
    <row r="177" spans="1:3" x14ac:dyDescent="0.25">
      <c r="A177" s="36">
        <v>41402</v>
      </c>
      <c r="B177" s="121">
        <v>0.7258796296296296</v>
      </c>
      <c r="C177" s="26" t="s">
        <v>1306</v>
      </c>
    </row>
    <row r="178" spans="1:3" x14ac:dyDescent="0.25">
      <c r="A178" s="36">
        <v>41402</v>
      </c>
      <c r="B178" s="121">
        <v>0.7258796296296296</v>
      </c>
      <c r="C178" s="26" t="s">
        <v>1307</v>
      </c>
    </row>
    <row r="179" spans="1:3" x14ac:dyDescent="0.25">
      <c r="A179" s="36">
        <v>41402</v>
      </c>
      <c r="B179" s="121">
        <v>0.7258796296296296</v>
      </c>
      <c r="C179" s="26" t="s">
        <v>1291</v>
      </c>
    </row>
    <row r="180" spans="1:3" x14ac:dyDescent="0.25">
      <c r="A180" s="36">
        <v>41402</v>
      </c>
      <c r="B180" s="121">
        <v>0.7258796296296296</v>
      </c>
      <c r="C180" s="26" t="s">
        <v>1308</v>
      </c>
    </row>
    <row r="181" spans="1:3" x14ac:dyDescent="0.25">
      <c r="A181" s="36">
        <v>41402</v>
      </c>
      <c r="B181" s="121">
        <v>0.7258796296296296</v>
      </c>
      <c r="C181" s="26" t="s">
        <v>1309</v>
      </c>
    </row>
    <row r="182" spans="1:3" x14ac:dyDescent="0.25">
      <c r="A182" s="36">
        <v>41402</v>
      </c>
      <c r="B182" s="121">
        <v>0.7258796296296296</v>
      </c>
      <c r="C182" s="26" t="s">
        <v>1309</v>
      </c>
    </row>
    <row r="183" spans="1:3" x14ac:dyDescent="0.25">
      <c r="A183" s="36">
        <v>41402</v>
      </c>
      <c r="B183" s="121">
        <v>0.7258796296296296</v>
      </c>
      <c r="C183" s="26" t="s">
        <v>1310</v>
      </c>
    </row>
    <row r="184" spans="1:3" x14ac:dyDescent="0.25">
      <c r="A184" s="36">
        <v>41402</v>
      </c>
      <c r="B184" s="121">
        <v>0.7258796296296296</v>
      </c>
      <c r="C184" s="26" t="s">
        <v>1304</v>
      </c>
    </row>
    <row r="185" spans="1:3" x14ac:dyDescent="0.25">
      <c r="A185" s="36">
        <v>41402</v>
      </c>
      <c r="B185" s="121">
        <v>0.7258796296296296</v>
      </c>
      <c r="C185" s="26" t="s">
        <v>1311</v>
      </c>
    </row>
    <row r="186" spans="1:3" x14ac:dyDescent="0.25">
      <c r="A186" s="36">
        <v>41402</v>
      </c>
      <c r="B186" s="121">
        <v>0.7258796296296296</v>
      </c>
      <c r="C186" s="26" t="s">
        <v>1312</v>
      </c>
    </row>
    <row r="187" spans="1:3" x14ac:dyDescent="0.25">
      <c r="A187" s="36">
        <v>41402</v>
      </c>
      <c r="B187" s="121">
        <v>0.7258796296296296</v>
      </c>
      <c r="C187" s="26" t="s">
        <v>1313</v>
      </c>
    </row>
    <row r="188" spans="1:3" x14ac:dyDescent="0.25">
      <c r="A188" s="36">
        <v>41402</v>
      </c>
      <c r="B188" s="121">
        <v>0.7258796296296296</v>
      </c>
      <c r="C188" s="26" t="s">
        <v>1274</v>
      </c>
    </row>
    <row r="189" spans="1:3" x14ac:dyDescent="0.25">
      <c r="A189" s="36">
        <v>41402</v>
      </c>
      <c r="B189" s="121">
        <v>0.7258796296296296</v>
      </c>
      <c r="C189" s="26" t="s">
        <v>1314</v>
      </c>
    </row>
    <row r="190" spans="1:3" x14ac:dyDescent="0.25">
      <c r="A190" s="36">
        <v>41402</v>
      </c>
      <c r="B190" s="121">
        <v>0.7258796296296296</v>
      </c>
      <c r="C190" s="26" t="s">
        <v>1315</v>
      </c>
    </row>
    <row r="191" spans="1:3" x14ac:dyDescent="0.25">
      <c r="A191" s="36">
        <v>41402</v>
      </c>
      <c r="B191" s="121">
        <v>0.7258796296296296</v>
      </c>
      <c r="C191" s="26" t="s">
        <v>1316</v>
      </c>
    </row>
    <row r="192" spans="1:3" x14ac:dyDescent="0.25">
      <c r="A192" s="36">
        <v>41402</v>
      </c>
      <c r="B192" s="121">
        <v>0.7258796296296296</v>
      </c>
      <c r="C192" s="26" t="s">
        <v>1311</v>
      </c>
    </row>
    <row r="193" spans="1:3" x14ac:dyDescent="0.25">
      <c r="A193" s="36">
        <v>41402</v>
      </c>
      <c r="B193" s="121">
        <v>0.7258796296296296</v>
      </c>
      <c r="C193" s="26" t="s">
        <v>1317</v>
      </c>
    </row>
    <row r="194" spans="1:3" x14ac:dyDescent="0.25">
      <c r="A194" s="36">
        <v>41402</v>
      </c>
      <c r="B194" s="121">
        <v>0.7258796296296296</v>
      </c>
      <c r="C194" s="26" t="s">
        <v>1318</v>
      </c>
    </row>
    <row r="195" spans="1:3" x14ac:dyDescent="0.25">
      <c r="A195" s="36">
        <v>41402</v>
      </c>
      <c r="B195" s="121">
        <v>0.7258796296296296</v>
      </c>
      <c r="C195" s="26" t="s">
        <v>1255</v>
      </c>
    </row>
    <row r="196" spans="1:3" x14ac:dyDescent="0.25">
      <c r="A196" s="36">
        <v>41402</v>
      </c>
      <c r="B196" s="121">
        <v>0.7258796296296296</v>
      </c>
      <c r="C196" s="26" t="s">
        <v>1255</v>
      </c>
    </row>
    <row r="197" spans="1:3" x14ac:dyDescent="0.25">
      <c r="A197" s="36">
        <v>41402</v>
      </c>
      <c r="B197" s="121">
        <v>0.7258796296296296</v>
      </c>
      <c r="C197" s="26" t="s">
        <v>1255</v>
      </c>
    </row>
    <row r="198" spans="1:3" x14ac:dyDescent="0.25">
      <c r="A198" s="36">
        <v>41402</v>
      </c>
      <c r="B198" s="121">
        <v>0.7258796296296296</v>
      </c>
      <c r="C198" s="26" t="s">
        <v>1319</v>
      </c>
    </row>
    <row r="199" spans="1:3" x14ac:dyDescent="0.25">
      <c r="A199" s="36">
        <v>41402</v>
      </c>
      <c r="B199" s="121">
        <v>0.7258796296296296</v>
      </c>
      <c r="C199" s="26" t="s">
        <v>1320</v>
      </c>
    </row>
    <row r="200" spans="1:3" x14ac:dyDescent="0.25">
      <c r="A200" s="36">
        <v>41402</v>
      </c>
      <c r="B200" s="121">
        <v>0.7258796296296296</v>
      </c>
      <c r="C200" s="26" t="s">
        <v>1266</v>
      </c>
    </row>
    <row r="201" spans="1:3" x14ac:dyDescent="0.25">
      <c r="A201" s="36">
        <v>41402</v>
      </c>
      <c r="B201" s="121">
        <v>0.7258796296296296</v>
      </c>
      <c r="C201" s="26" t="s">
        <v>1321</v>
      </c>
    </row>
    <row r="202" spans="1:3" x14ac:dyDescent="0.25">
      <c r="A202" s="36">
        <v>41402</v>
      </c>
      <c r="B202" s="121">
        <v>0.7258796296296296</v>
      </c>
      <c r="C202" s="26" t="s">
        <v>1322</v>
      </c>
    </row>
    <row r="203" spans="1:3" x14ac:dyDescent="0.25">
      <c r="A203" s="36">
        <v>41402</v>
      </c>
      <c r="B203" s="121">
        <v>0.7258796296296296</v>
      </c>
      <c r="C203" s="26" t="s">
        <v>1323</v>
      </c>
    </row>
    <row r="204" spans="1:3" x14ac:dyDescent="0.25">
      <c r="A204" s="36">
        <v>41402</v>
      </c>
      <c r="B204" s="121">
        <v>0.7258796296296296</v>
      </c>
      <c r="C204" s="26" t="s">
        <v>1324</v>
      </c>
    </row>
    <row r="205" spans="1:3" x14ac:dyDescent="0.25">
      <c r="A205" s="36">
        <v>41402</v>
      </c>
      <c r="B205" s="121">
        <v>0.7258796296296296</v>
      </c>
      <c r="C205" s="26" t="s">
        <v>1268</v>
      </c>
    </row>
    <row r="206" spans="1:3" x14ac:dyDescent="0.25">
      <c r="A206" s="36">
        <v>41402</v>
      </c>
      <c r="B206" s="121">
        <v>0.7258796296296296</v>
      </c>
      <c r="C206" s="26" t="s">
        <v>1325</v>
      </c>
    </row>
    <row r="207" spans="1:3" x14ac:dyDescent="0.25">
      <c r="A207" s="36">
        <v>41402</v>
      </c>
      <c r="B207" s="121">
        <v>0.7258796296296296</v>
      </c>
      <c r="C207" s="26" t="s">
        <v>1326</v>
      </c>
    </row>
    <row r="208" spans="1:3" x14ac:dyDescent="0.25">
      <c r="A208" s="36">
        <v>41402</v>
      </c>
      <c r="B208" s="121">
        <v>0.7258796296296296</v>
      </c>
      <c r="C208" s="26" t="s">
        <v>1327</v>
      </c>
    </row>
    <row r="209" spans="1:3" x14ac:dyDescent="0.25">
      <c r="A209" s="36">
        <v>41402</v>
      </c>
      <c r="B209" s="121">
        <v>0.7258796296296296</v>
      </c>
      <c r="C209" s="26" t="s">
        <v>1328</v>
      </c>
    </row>
    <row r="210" spans="1:3" x14ac:dyDescent="0.25">
      <c r="A210" s="36">
        <v>41402</v>
      </c>
      <c r="B210" s="121">
        <v>0.7258796296296296</v>
      </c>
      <c r="C210" s="26" t="s">
        <v>1329</v>
      </c>
    </row>
    <row r="211" spans="1:3" x14ac:dyDescent="0.25">
      <c r="A211" s="36">
        <v>41402</v>
      </c>
      <c r="B211" s="121">
        <v>0.7258796296296296</v>
      </c>
      <c r="C211" s="26" t="s">
        <v>1330</v>
      </c>
    </row>
    <row r="212" spans="1:3" x14ac:dyDescent="0.25">
      <c r="A212" s="36">
        <v>41402</v>
      </c>
      <c r="B212" s="121">
        <v>0.7258796296296296</v>
      </c>
      <c r="C212" s="26" t="s">
        <v>1330</v>
      </c>
    </row>
    <row r="213" spans="1:3" x14ac:dyDescent="0.25">
      <c r="A213" s="36">
        <v>41402</v>
      </c>
      <c r="B213" s="121">
        <v>0.7258796296296296</v>
      </c>
      <c r="C213" s="26" t="s">
        <v>1331</v>
      </c>
    </row>
    <row r="214" spans="1:3" x14ac:dyDescent="0.25">
      <c r="A214" s="36">
        <v>41402</v>
      </c>
      <c r="B214" s="121">
        <v>0.7258796296296296</v>
      </c>
      <c r="C214" s="26" t="s">
        <v>1263</v>
      </c>
    </row>
    <row r="215" spans="1:3" x14ac:dyDescent="0.25">
      <c r="A215" s="36">
        <v>41402</v>
      </c>
      <c r="B215" s="121">
        <v>0.7258796296296296</v>
      </c>
      <c r="C215" s="26" t="s">
        <v>1332</v>
      </c>
    </row>
    <row r="216" spans="1:3" x14ac:dyDescent="0.25">
      <c r="A216" s="36">
        <v>41402</v>
      </c>
      <c r="B216" s="121">
        <v>0.7258796296296296</v>
      </c>
      <c r="C216" s="26" t="s">
        <v>1333</v>
      </c>
    </row>
    <row r="217" spans="1:3" x14ac:dyDescent="0.25">
      <c r="A217" s="36">
        <v>41402</v>
      </c>
      <c r="B217" s="121">
        <v>0.7258796296296296</v>
      </c>
      <c r="C217" s="26" t="s">
        <v>1333</v>
      </c>
    </row>
    <row r="218" spans="1:3" x14ac:dyDescent="0.25">
      <c r="A218" s="36">
        <v>41402</v>
      </c>
      <c r="B218" s="121">
        <v>0.7258796296296296</v>
      </c>
      <c r="C218" s="26" t="s">
        <v>1334</v>
      </c>
    </row>
    <row r="219" spans="1:3" x14ac:dyDescent="0.25">
      <c r="A219" s="36">
        <v>41402</v>
      </c>
      <c r="B219" s="121">
        <v>0.7258796296296296</v>
      </c>
      <c r="C219" s="26" t="s">
        <v>1335</v>
      </c>
    </row>
    <row r="220" spans="1:3" x14ac:dyDescent="0.25">
      <c r="A220" s="36">
        <v>41402</v>
      </c>
      <c r="B220" s="121">
        <v>0.7258796296296296</v>
      </c>
      <c r="C220" s="26" t="s">
        <v>1336</v>
      </c>
    </row>
    <row r="221" spans="1:3" x14ac:dyDescent="0.25">
      <c r="A221" s="36">
        <v>41402</v>
      </c>
      <c r="B221" s="121">
        <v>0.7258796296296296</v>
      </c>
      <c r="C221" s="26" t="s">
        <v>1337</v>
      </c>
    </row>
    <row r="222" spans="1:3" x14ac:dyDescent="0.25">
      <c r="A222" s="36">
        <v>41402</v>
      </c>
      <c r="B222" s="121">
        <v>0.7258796296296296</v>
      </c>
      <c r="C222" s="26" t="s">
        <v>1338</v>
      </c>
    </row>
    <row r="223" spans="1:3" x14ac:dyDescent="0.25">
      <c r="A223" s="36">
        <v>41402</v>
      </c>
      <c r="B223" s="121">
        <v>0.7258796296296296</v>
      </c>
      <c r="C223" s="26" t="s">
        <v>1339</v>
      </c>
    </row>
    <row r="224" spans="1:3" x14ac:dyDescent="0.25">
      <c r="A224" s="36">
        <v>41402</v>
      </c>
      <c r="B224" s="121">
        <v>0.7258796296296296</v>
      </c>
      <c r="C224" s="26" t="s">
        <v>1338</v>
      </c>
    </row>
    <row r="225" spans="1:3" x14ac:dyDescent="0.25">
      <c r="A225" s="36">
        <v>41402</v>
      </c>
      <c r="B225" s="121">
        <v>0.7258796296296296</v>
      </c>
      <c r="C225" s="26" t="s">
        <v>1340</v>
      </c>
    </row>
    <row r="226" spans="1:3" x14ac:dyDescent="0.25">
      <c r="A226" s="36">
        <v>41402</v>
      </c>
      <c r="B226" s="121">
        <v>0.7258796296296296</v>
      </c>
      <c r="C226" s="26" t="s">
        <v>1341</v>
      </c>
    </row>
    <row r="227" spans="1:3" x14ac:dyDescent="0.25">
      <c r="A227" s="36">
        <v>41402</v>
      </c>
      <c r="B227" s="121">
        <v>0.7258796296296296</v>
      </c>
      <c r="C227" s="26" t="s">
        <v>1341</v>
      </c>
    </row>
    <row r="228" spans="1:3" x14ac:dyDescent="0.25">
      <c r="A228" s="36">
        <v>41402</v>
      </c>
      <c r="B228" s="121">
        <v>0.7258796296296296</v>
      </c>
      <c r="C228" s="26" t="s">
        <v>1266</v>
      </c>
    </row>
    <row r="229" spans="1:3" x14ac:dyDescent="0.25">
      <c r="A229" s="36">
        <v>41402</v>
      </c>
      <c r="B229" s="121">
        <v>0.7258796296296296</v>
      </c>
      <c r="C229" s="26" t="s">
        <v>1339</v>
      </c>
    </row>
    <row r="230" spans="1:3" x14ac:dyDescent="0.25">
      <c r="A230" s="36">
        <v>41402</v>
      </c>
      <c r="B230" s="121">
        <v>0.7258796296296296</v>
      </c>
      <c r="C230" s="26" t="s">
        <v>1253</v>
      </c>
    </row>
    <row r="231" spans="1:3" x14ac:dyDescent="0.25">
      <c r="A231" s="36">
        <v>41402</v>
      </c>
      <c r="B231" s="121">
        <v>0.7258796296296296</v>
      </c>
      <c r="C231" s="26" t="s">
        <v>1342</v>
      </c>
    </row>
    <row r="232" spans="1:3" x14ac:dyDescent="0.25">
      <c r="A232" s="36">
        <v>41402</v>
      </c>
      <c r="B232" s="121">
        <v>0.7258796296296296</v>
      </c>
      <c r="C232" s="26" t="s">
        <v>1343</v>
      </c>
    </row>
    <row r="233" spans="1:3" x14ac:dyDescent="0.25">
      <c r="A233" s="36">
        <v>41402</v>
      </c>
      <c r="B233" s="121">
        <v>0.7258796296296296</v>
      </c>
      <c r="C233" s="26" t="s">
        <v>1344</v>
      </c>
    </row>
    <row r="234" spans="1:3" x14ac:dyDescent="0.25">
      <c r="A234" s="36">
        <v>41402</v>
      </c>
      <c r="B234" s="121">
        <v>0.7258796296296296</v>
      </c>
      <c r="C234" s="26" t="s">
        <v>1345</v>
      </c>
    </row>
    <row r="235" spans="1:3" x14ac:dyDescent="0.25">
      <c r="A235" s="36">
        <v>41402</v>
      </c>
      <c r="B235" s="121">
        <v>0.7258796296296296</v>
      </c>
      <c r="C235" s="26" t="s">
        <v>1346</v>
      </c>
    </row>
    <row r="236" spans="1:3" x14ac:dyDescent="0.25">
      <c r="A236" s="36">
        <v>41402</v>
      </c>
      <c r="B236" s="121">
        <v>0.7258796296296296</v>
      </c>
      <c r="C236" s="26" t="s">
        <v>1333</v>
      </c>
    </row>
    <row r="237" spans="1:3" x14ac:dyDescent="0.25">
      <c r="A237" s="36">
        <v>41402</v>
      </c>
      <c r="B237" s="121">
        <v>0.7258796296296296</v>
      </c>
      <c r="C237" s="26" t="s">
        <v>1347</v>
      </c>
    </row>
    <row r="238" spans="1:3" x14ac:dyDescent="0.25">
      <c r="A238" s="36">
        <v>41402</v>
      </c>
      <c r="B238" s="121">
        <v>0.7258796296296296</v>
      </c>
      <c r="C238" s="26" t="s">
        <v>1316</v>
      </c>
    </row>
    <row r="239" spans="1:3" x14ac:dyDescent="0.25">
      <c r="A239" s="36">
        <v>41402</v>
      </c>
      <c r="B239" s="121">
        <v>0.7258796296296296</v>
      </c>
      <c r="C239" s="26" t="s">
        <v>1348</v>
      </c>
    </row>
    <row r="240" spans="1:3" x14ac:dyDescent="0.25">
      <c r="A240" s="36">
        <v>41402</v>
      </c>
      <c r="B240" s="121">
        <v>0.7258796296296296</v>
      </c>
      <c r="C240" s="26" t="s">
        <v>1349</v>
      </c>
    </row>
    <row r="241" spans="1:3" x14ac:dyDescent="0.25">
      <c r="A241" s="36">
        <v>41402</v>
      </c>
      <c r="B241" s="121">
        <v>0.7258796296296296</v>
      </c>
      <c r="C241" s="26" t="s">
        <v>1315</v>
      </c>
    </row>
    <row r="242" spans="1:3" x14ac:dyDescent="0.25">
      <c r="A242" s="36">
        <v>41402</v>
      </c>
      <c r="B242" s="121">
        <v>0.7258796296296296</v>
      </c>
      <c r="C242" s="26" t="s">
        <v>1350</v>
      </c>
    </row>
    <row r="243" spans="1:3" x14ac:dyDescent="0.25">
      <c r="A243" s="36">
        <v>41402</v>
      </c>
      <c r="B243" s="121">
        <v>0.7258796296296296</v>
      </c>
      <c r="C243" s="26" t="s">
        <v>1351</v>
      </c>
    </row>
    <row r="244" spans="1:3" x14ac:dyDescent="0.25">
      <c r="A244" s="36">
        <v>41402</v>
      </c>
      <c r="B244" s="121">
        <v>0.7258796296296296</v>
      </c>
      <c r="C244" s="26" t="s">
        <v>1338</v>
      </c>
    </row>
    <row r="245" spans="1:3" x14ac:dyDescent="0.25">
      <c r="A245" s="36">
        <v>41402</v>
      </c>
      <c r="B245" s="121">
        <v>0.7258796296296296</v>
      </c>
      <c r="C245" s="26" t="s">
        <v>1352</v>
      </c>
    </row>
    <row r="246" spans="1:3" x14ac:dyDescent="0.25">
      <c r="A246" s="36">
        <v>41402</v>
      </c>
      <c r="B246" s="121">
        <v>0.7258796296296296</v>
      </c>
      <c r="C246" s="26" t="s">
        <v>1353</v>
      </c>
    </row>
    <row r="247" spans="1:3" x14ac:dyDescent="0.25">
      <c r="A247" s="36">
        <v>41402</v>
      </c>
      <c r="B247" s="121">
        <v>0.7258796296296296</v>
      </c>
      <c r="C247" s="26" t="s">
        <v>1354</v>
      </c>
    </row>
    <row r="248" spans="1:3" x14ac:dyDescent="0.25">
      <c r="A248" s="36">
        <v>41402</v>
      </c>
      <c r="B248" s="121">
        <v>0.7258796296296296</v>
      </c>
      <c r="C248" s="26" t="s">
        <v>1355</v>
      </c>
    </row>
    <row r="249" spans="1:3" x14ac:dyDescent="0.25">
      <c r="A249" s="36">
        <v>41402</v>
      </c>
      <c r="B249" s="121">
        <v>0.7258796296296296</v>
      </c>
      <c r="C249" s="26" t="s">
        <v>1356</v>
      </c>
    </row>
    <row r="250" spans="1:3" x14ac:dyDescent="0.25">
      <c r="A250" s="36">
        <v>41402</v>
      </c>
      <c r="B250" s="121">
        <v>0.7258796296296296</v>
      </c>
      <c r="C250" s="26" t="s">
        <v>1357</v>
      </c>
    </row>
    <row r="251" spans="1:3" x14ac:dyDescent="0.25">
      <c r="A251" s="36">
        <v>41402</v>
      </c>
      <c r="B251" s="121">
        <v>0.72589120370370364</v>
      </c>
      <c r="C251" s="26" t="s">
        <v>1358</v>
      </c>
    </row>
    <row r="252" spans="1:3" x14ac:dyDescent="0.25">
      <c r="A252" s="36">
        <v>41402</v>
      </c>
      <c r="B252" s="121">
        <v>0.77496527777777768</v>
      </c>
      <c r="C252" s="26" t="s">
        <v>1196</v>
      </c>
    </row>
    <row r="253" spans="1:3" x14ac:dyDescent="0.25">
      <c r="A253" s="36">
        <v>41402</v>
      </c>
      <c r="B253" s="121">
        <v>0.77706018518518516</v>
      </c>
      <c r="C253" s="26" t="s">
        <v>1214</v>
      </c>
    </row>
    <row r="254" spans="1:3" x14ac:dyDescent="0.25">
      <c r="A254" s="36">
        <v>41402</v>
      </c>
      <c r="B254" s="121">
        <v>0.77706018518518516</v>
      </c>
      <c r="C254" s="26" t="s">
        <v>1215</v>
      </c>
    </row>
    <row r="255" spans="1:3" x14ac:dyDescent="0.25">
      <c r="A255" s="36">
        <v>41402</v>
      </c>
      <c r="B255" s="121">
        <v>0.77706018518518516</v>
      </c>
      <c r="C255" s="26" t="s">
        <v>1216</v>
      </c>
    </row>
    <row r="256" spans="1:3" x14ac:dyDescent="0.25">
      <c r="A256" s="36">
        <v>41402</v>
      </c>
      <c r="B256" s="121">
        <v>0.77706018518518516</v>
      </c>
      <c r="C256" s="26" t="s">
        <v>1215</v>
      </c>
    </row>
    <row r="257" spans="1:3" x14ac:dyDescent="0.25">
      <c r="A257" s="36">
        <v>41402</v>
      </c>
      <c r="B257" s="121">
        <v>0.77706018518518516</v>
      </c>
      <c r="C257" s="26" t="s">
        <v>1217</v>
      </c>
    </row>
    <row r="258" spans="1:3" x14ac:dyDescent="0.25">
      <c r="A258" s="36">
        <v>41402</v>
      </c>
      <c r="B258" s="121">
        <v>0.77706018518518516</v>
      </c>
      <c r="C258" s="26" t="s">
        <v>1217</v>
      </c>
    </row>
    <row r="259" spans="1:3" x14ac:dyDescent="0.25">
      <c r="A259" s="36">
        <v>41402</v>
      </c>
      <c r="B259" s="121">
        <v>0.77706018518518516</v>
      </c>
      <c r="C259" s="26" t="s">
        <v>1218</v>
      </c>
    </row>
    <row r="260" spans="1:3" x14ac:dyDescent="0.25">
      <c r="A260" s="36">
        <v>41402</v>
      </c>
      <c r="B260" s="121">
        <v>0.77706018518518516</v>
      </c>
      <c r="C260" s="26" t="s">
        <v>1219</v>
      </c>
    </row>
    <row r="261" spans="1:3" x14ac:dyDescent="0.25">
      <c r="A261" s="36">
        <v>41402</v>
      </c>
      <c r="B261" s="121">
        <v>0.77706018518518516</v>
      </c>
      <c r="C261" s="26" t="s">
        <v>1220</v>
      </c>
    </row>
    <row r="262" spans="1:3" x14ac:dyDescent="0.25">
      <c r="A262" s="36">
        <v>41402</v>
      </c>
      <c r="B262" s="121">
        <v>0.77706018518518516</v>
      </c>
      <c r="C262" s="26" t="s">
        <v>1221</v>
      </c>
    </row>
    <row r="263" spans="1:3" x14ac:dyDescent="0.25">
      <c r="A263" s="36">
        <v>41402</v>
      </c>
      <c r="B263" s="121">
        <v>0.77706018518518516</v>
      </c>
      <c r="C263" s="26" t="s">
        <v>1222</v>
      </c>
    </row>
    <row r="264" spans="1:3" x14ac:dyDescent="0.25">
      <c r="A264" s="36">
        <v>41402</v>
      </c>
      <c r="B264" s="121">
        <v>0.77706018518518516</v>
      </c>
      <c r="C264" s="26" t="s">
        <v>1223</v>
      </c>
    </row>
    <row r="265" spans="1:3" x14ac:dyDescent="0.25">
      <c r="A265" s="36">
        <v>41402</v>
      </c>
      <c r="B265" s="121">
        <v>0.77706018518518516</v>
      </c>
      <c r="C265" s="26" t="s">
        <v>1215</v>
      </c>
    </row>
    <row r="266" spans="1:3" x14ac:dyDescent="0.25">
      <c r="A266" s="36">
        <v>41402</v>
      </c>
      <c r="B266" s="121">
        <v>0.77706018518518516</v>
      </c>
      <c r="C266" s="26" t="s">
        <v>1224</v>
      </c>
    </row>
    <row r="267" spans="1:3" x14ac:dyDescent="0.25">
      <c r="A267" s="36">
        <v>41402</v>
      </c>
      <c r="B267" s="121">
        <v>0.77706018518518516</v>
      </c>
      <c r="C267" s="26" t="s">
        <v>1224</v>
      </c>
    </row>
    <row r="268" spans="1:3" x14ac:dyDescent="0.25">
      <c r="A268" s="36">
        <v>41402</v>
      </c>
      <c r="B268" s="121">
        <v>0.77706018518518516</v>
      </c>
      <c r="C268" s="26" t="s">
        <v>1225</v>
      </c>
    </row>
    <row r="269" spans="1:3" x14ac:dyDescent="0.25">
      <c r="A269" s="36">
        <v>41402</v>
      </c>
      <c r="B269" s="121">
        <v>0.77706018518518516</v>
      </c>
      <c r="C269" s="26" t="s">
        <v>1220</v>
      </c>
    </row>
    <row r="270" spans="1:3" x14ac:dyDescent="0.25">
      <c r="A270" s="36">
        <v>41402</v>
      </c>
      <c r="B270" s="121">
        <v>0.77706018518518516</v>
      </c>
      <c r="C270" s="26" t="s">
        <v>1220</v>
      </c>
    </row>
    <row r="271" spans="1:3" x14ac:dyDescent="0.25">
      <c r="A271" s="36">
        <v>41402</v>
      </c>
      <c r="B271" s="121">
        <v>0.77706018518518516</v>
      </c>
      <c r="C271" s="26" t="s">
        <v>1226</v>
      </c>
    </row>
    <row r="272" spans="1:3" x14ac:dyDescent="0.25">
      <c r="A272" s="36">
        <v>41402</v>
      </c>
      <c r="B272" s="121">
        <v>0.77706018518518516</v>
      </c>
      <c r="C272" s="26" t="s">
        <v>1227</v>
      </c>
    </row>
    <row r="273" spans="1:3" x14ac:dyDescent="0.25">
      <c r="A273" s="36">
        <v>41402</v>
      </c>
      <c r="B273" s="121">
        <v>0.77706018518518516</v>
      </c>
      <c r="C273" s="26" t="s">
        <v>1228</v>
      </c>
    </row>
    <row r="274" spans="1:3" x14ac:dyDescent="0.25">
      <c r="A274" s="36">
        <v>41402</v>
      </c>
      <c r="B274" s="121">
        <v>0.77706018518518516</v>
      </c>
      <c r="C274" s="26" t="s">
        <v>1227</v>
      </c>
    </row>
    <row r="275" spans="1:3" x14ac:dyDescent="0.25">
      <c r="A275" s="36">
        <v>41402</v>
      </c>
      <c r="B275" s="121">
        <v>0.77706018518518516</v>
      </c>
      <c r="C275" s="26" t="s">
        <v>1224</v>
      </c>
    </row>
    <row r="276" spans="1:3" x14ac:dyDescent="0.25">
      <c r="A276" s="36">
        <v>41402</v>
      </c>
      <c r="B276" s="121">
        <v>0.77707175925925931</v>
      </c>
      <c r="C276" s="26" t="s">
        <v>1359</v>
      </c>
    </row>
    <row r="277" spans="1:3" x14ac:dyDescent="0.25">
      <c r="A277" s="36">
        <v>41402</v>
      </c>
      <c r="B277" s="121">
        <v>0.78563657407407417</v>
      </c>
      <c r="C277" s="26" t="s">
        <v>1360</v>
      </c>
    </row>
    <row r="278" spans="1:3" ht="30" x14ac:dyDescent="0.25">
      <c r="A278" s="36">
        <v>41402</v>
      </c>
      <c r="B278" s="121">
        <v>0.78571759259259266</v>
      </c>
      <c r="C278" s="841" t="s">
        <v>1361</v>
      </c>
    </row>
    <row r="279" spans="1:3" ht="45" x14ac:dyDescent="0.25">
      <c r="A279" s="36">
        <v>41402</v>
      </c>
      <c r="B279" s="121">
        <v>0.78577546296296286</v>
      </c>
      <c r="C279" s="841" t="s">
        <v>1362</v>
      </c>
    </row>
    <row r="280" spans="1:3" x14ac:dyDescent="0.25">
      <c r="A280" s="36">
        <v>41402</v>
      </c>
      <c r="B280" s="121">
        <v>0.78686342592592595</v>
      </c>
      <c r="C280" s="26" t="s">
        <v>1363</v>
      </c>
    </row>
    <row r="281" spans="1:3" ht="30" x14ac:dyDescent="0.25">
      <c r="A281" s="36">
        <v>41402</v>
      </c>
      <c r="B281" s="121">
        <v>0.78708333333333336</v>
      </c>
      <c r="C281" s="841" t="s">
        <v>1364</v>
      </c>
    </row>
    <row r="282" spans="1:3" ht="45" x14ac:dyDescent="0.25">
      <c r="A282" s="36">
        <v>41402</v>
      </c>
      <c r="B282" s="121">
        <v>0.78776620370370365</v>
      </c>
      <c r="C282" s="841" t="s">
        <v>1365</v>
      </c>
    </row>
    <row r="283" spans="1:3" x14ac:dyDescent="0.25">
      <c r="A283" s="36">
        <v>41402</v>
      </c>
      <c r="B283" s="121">
        <v>0.80622685185185183</v>
      </c>
      <c r="C283" s="26" t="s">
        <v>1366</v>
      </c>
    </row>
    <row r="284" spans="1:3" ht="30" x14ac:dyDescent="0.25">
      <c r="A284" s="36">
        <v>41402</v>
      </c>
      <c r="B284" s="121">
        <v>0.8062962962962964</v>
      </c>
      <c r="C284" s="841" t="s">
        <v>1367</v>
      </c>
    </row>
    <row r="285" spans="1:3" ht="45" x14ac:dyDescent="0.25">
      <c r="A285" s="36">
        <v>41402</v>
      </c>
      <c r="B285" s="121">
        <v>0.80635416666666659</v>
      </c>
      <c r="C285" s="841" t="s">
        <v>1368</v>
      </c>
    </row>
    <row r="286" spans="1:3" x14ac:dyDescent="0.25">
      <c r="A286" s="36">
        <v>41402</v>
      </c>
      <c r="B286" s="121">
        <v>0.8160532407407407</v>
      </c>
      <c r="C286" s="26" t="s">
        <v>1363</v>
      </c>
    </row>
    <row r="287" spans="1:3" ht="30" x14ac:dyDescent="0.25">
      <c r="A287" s="36">
        <v>41402</v>
      </c>
      <c r="B287" s="121">
        <v>0.81630787037037045</v>
      </c>
      <c r="C287" s="841" t="s">
        <v>1369</v>
      </c>
    </row>
    <row r="288" spans="1:3" ht="45" x14ac:dyDescent="0.25">
      <c r="A288" s="36">
        <v>41402</v>
      </c>
      <c r="B288" s="121">
        <v>0.8168981481481481</v>
      </c>
      <c r="C288" s="841" t="s">
        <v>1370</v>
      </c>
    </row>
    <row r="289" spans="1:3" ht="30" x14ac:dyDescent="0.25">
      <c r="A289" s="36">
        <v>41402</v>
      </c>
      <c r="B289" s="121">
        <v>0.81914351851851863</v>
      </c>
      <c r="C289" s="841" t="s">
        <v>1371</v>
      </c>
    </row>
    <row r="290" spans="1:3" x14ac:dyDescent="0.25">
      <c r="A290" s="36">
        <v>41403</v>
      </c>
      <c r="B290" s="121">
        <v>0.98890046296296286</v>
      </c>
      <c r="C290" s="26" t="s">
        <v>1197</v>
      </c>
    </row>
    <row r="291" spans="1:3" ht="30" x14ac:dyDescent="0.25">
      <c r="A291" s="36">
        <v>41403</v>
      </c>
      <c r="B291" s="121">
        <v>0.98895833333333327</v>
      </c>
      <c r="C291" s="841" t="s">
        <v>1372</v>
      </c>
    </row>
    <row r="292" spans="1:3" ht="45" x14ac:dyDescent="0.25">
      <c r="A292" s="36">
        <v>41403</v>
      </c>
      <c r="B292" s="121">
        <v>0.98902777777777784</v>
      </c>
      <c r="C292" s="841" t="s">
        <v>1373</v>
      </c>
    </row>
    <row r="293" spans="1:3" x14ac:dyDescent="0.25">
      <c r="A293" s="36">
        <v>41403</v>
      </c>
      <c r="B293" s="121">
        <v>0.99033564814814812</v>
      </c>
      <c r="C293" s="26" t="s">
        <v>1374</v>
      </c>
    </row>
    <row r="294" spans="1:3" x14ac:dyDescent="0.25">
      <c r="A294" s="36">
        <v>41403</v>
      </c>
      <c r="B294" s="121">
        <v>0.99094907407407407</v>
      </c>
      <c r="C294" s="26" t="s">
        <v>1375</v>
      </c>
    </row>
    <row r="295" spans="1:3" ht="30" x14ac:dyDescent="0.25">
      <c r="A295" s="36">
        <v>41403</v>
      </c>
      <c r="B295" s="121">
        <v>0.9911226851851852</v>
      </c>
      <c r="C295" s="841" t="s">
        <v>1376</v>
      </c>
    </row>
    <row r="296" spans="1:3" ht="45" x14ac:dyDescent="0.25">
      <c r="A296" s="36">
        <v>41403</v>
      </c>
      <c r="B296" s="121">
        <v>0.99192129629629633</v>
      </c>
      <c r="C296" s="841" t="s">
        <v>1377</v>
      </c>
    </row>
    <row r="297" spans="1:3" x14ac:dyDescent="0.25">
      <c r="A297" s="36">
        <v>41403</v>
      </c>
      <c r="B297" s="121">
        <v>0.99234953703703699</v>
      </c>
      <c r="C297" s="26" t="s">
        <v>1378</v>
      </c>
    </row>
    <row r="298" spans="1:3" ht="45" x14ac:dyDescent="0.25">
      <c r="A298" s="36">
        <v>41403</v>
      </c>
      <c r="B298" s="121">
        <v>0.9934722222222222</v>
      </c>
      <c r="C298" s="841" t="s">
        <v>1379</v>
      </c>
    </row>
    <row r="299" spans="1:3" ht="45" x14ac:dyDescent="0.25">
      <c r="A299" s="36">
        <v>41403</v>
      </c>
      <c r="B299" s="121">
        <v>0.99361111111111111</v>
      </c>
      <c r="C299" s="841" t="s">
        <v>1380</v>
      </c>
    </row>
    <row r="300" spans="1:3" ht="30" x14ac:dyDescent="0.25">
      <c r="A300" s="36">
        <v>41403</v>
      </c>
      <c r="B300" s="121">
        <v>0.99364583333333334</v>
      </c>
      <c r="C300" s="841" t="s">
        <v>1381</v>
      </c>
    </row>
    <row r="301" spans="1:3" x14ac:dyDescent="0.25">
      <c r="A301" s="36">
        <v>41403</v>
      </c>
      <c r="B301" s="121">
        <v>0.99383101851851852</v>
      </c>
      <c r="C301" s="26" t="s">
        <v>1208</v>
      </c>
    </row>
    <row r="302" spans="1:3" x14ac:dyDescent="0.25">
      <c r="A302" s="36">
        <v>41403</v>
      </c>
      <c r="B302" s="121">
        <v>0.99395833333333339</v>
      </c>
      <c r="C302" s="26" t="s">
        <v>1382</v>
      </c>
    </row>
    <row r="303" spans="1:3" ht="30" x14ac:dyDescent="0.25">
      <c r="A303" s="36">
        <v>41403</v>
      </c>
      <c r="B303" s="121">
        <v>0.99578703703703697</v>
      </c>
      <c r="C303" s="841" t="s">
        <v>1383</v>
      </c>
    </row>
    <row r="304" spans="1:3" ht="45" x14ac:dyDescent="0.25">
      <c r="A304" s="36">
        <v>41403</v>
      </c>
      <c r="B304" s="121">
        <v>0.99614583333333329</v>
      </c>
      <c r="C304" s="841" t="s">
        <v>1384</v>
      </c>
    </row>
    <row r="305" spans="1:3" x14ac:dyDescent="0.25">
      <c r="A305" s="36">
        <v>41403</v>
      </c>
      <c r="B305" s="121">
        <v>0.99645833333333333</v>
      </c>
      <c r="C305" s="26" t="s">
        <v>1214</v>
      </c>
    </row>
    <row r="306" spans="1:3" x14ac:dyDescent="0.25">
      <c r="A306" s="36">
        <v>41403</v>
      </c>
      <c r="B306" s="121">
        <v>0.99645833333333333</v>
      </c>
      <c r="C306" s="26" t="s">
        <v>1215</v>
      </c>
    </row>
    <row r="307" spans="1:3" x14ac:dyDescent="0.25">
      <c r="A307" s="36">
        <v>41403</v>
      </c>
      <c r="B307" s="121">
        <v>0.99645833333333333</v>
      </c>
      <c r="C307" s="26" t="s">
        <v>1216</v>
      </c>
    </row>
    <row r="308" spans="1:3" x14ac:dyDescent="0.25">
      <c r="A308" s="36">
        <v>41403</v>
      </c>
      <c r="B308" s="121">
        <v>0.99645833333333333</v>
      </c>
      <c r="C308" s="26" t="s">
        <v>1215</v>
      </c>
    </row>
    <row r="309" spans="1:3" x14ac:dyDescent="0.25">
      <c r="A309" s="36">
        <v>41403</v>
      </c>
      <c r="B309" s="121">
        <v>0.99645833333333333</v>
      </c>
      <c r="C309" s="26" t="s">
        <v>1217</v>
      </c>
    </row>
    <row r="310" spans="1:3" x14ac:dyDescent="0.25">
      <c r="A310" s="36">
        <v>41403</v>
      </c>
      <c r="B310" s="121">
        <v>0.99645833333333333</v>
      </c>
      <c r="C310" s="26" t="s">
        <v>1217</v>
      </c>
    </row>
    <row r="311" spans="1:3" x14ac:dyDescent="0.25">
      <c r="A311" s="36">
        <v>41403</v>
      </c>
      <c r="B311" s="121">
        <v>0.99645833333333333</v>
      </c>
      <c r="C311" s="26" t="s">
        <v>1218</v>
      </c>
    </row>
    <row r="312" spans="1:3" x14ac:dyDescent="0.25">
      <c r="A312" s="36">
        <v>41403</v>
      </c>
      <c r="B312" s="121">
        <v>0.99645833333333333</v>
      </c>
      <c r="C312" s="26" t="s">
        <v>1219</v>
      </c>
    </row>
    <row r="313" spans="1:3" x14ac:dyDescent="0.25">
      <c r="A313" s="36">
        <v>41403</v>
      </c>
      <c r="B313" s="121">
        <v>0.99645833333333333</v>
      </c>
      <c r="C313" s="26" t="s">
        <v>1220</v>
      </c>
    </row>
    <row r="314" spans="1:3" x14ac:dyDescent="0.25">
      <c r="A314" s="36">
        <v>41403</v>
      </c>
      <c r="B314" s="121">
        <v>0.99645833333333333</v>
      </c>
      <c r="C314" s="26" t="s">
        <v>1221</v>
      </c>
    </row>
    <row r="315" spans="1:3" x14ac:dyDescent="0.25">
      <c r="A315" s="36">
        <v>41403</v>
      </c>
      <c r="B315" s="121">
        <v>0.99645833333333333</v>
      </c>
      <c r="C315" s="26" t="s">
        <v>1222</v>
      </c>
    </row>
    <row r="316" spans="1:3" x14ac:dyDescent="0.25">
      <c r="A316" s="36">
        <v>41403</v>
      </c>
      <c r="B316" s="121">
        <v>0.99645833333333333</v>
      </c>
      <c r="C316" s="26" t="s">
        <v>1223</v>
      </c>
    </row>
    <row r="317" spans="1:3" x14ac:dyDescent="0.25">
      <c r="A317" s="36">
        <v>41403</v>
      </c>
      <c r="B317" s="121">
        <v>0.99645833333333333</v>
      </c>
      <c r="C317" s="26" t="s">
        <v>1215</v>
      </c>
    </row>
    <row r="318" spans="1:3" x14ac:dyDescent="0.25">
      <c r="A318" s="36">
        <v>41403</v>
      </c>
      <c r="B318" s="121">
        <v>0.99646990740740737</v>
      </c>
      <c r="C318" s="26" t="s">
        <v>1224</v>
      </c>
    </row>
    <row r="319" spans="1:3" x14ac:dyDescent="0.25">
      <c r="A319" s="36">
        <v>41403</v>
      </c>
      <c r="B319" s="121">
        <v>0.99646990740740737</v>
      </c>
      <c r="C319" s="26" t="s">
        <v>1224</v>
      </c>
    </row>
    <row r="320" spans="1:3" x14ac:dyDescent="0.25">
      <c r="A320" s="36">
        <v>41403</v>
      </c>
      <c r="B320" s="121">
        <v>0.99646990740740737</v>
      </c>
      <c r="C320" s="26" t="s">
        <v>1225</v>
      </c>
    </row>
    <row r="321" spans="1:3" x14ac:dyDescent="0.25">
      <c r="A321" s="36">
        <v>41403</v>
      </c>
      <c r="B321" s="121">
        <v>0.99646990740740737</v>
      </c>
      <c r="C321" s="26" t="s">
        <v>1220</v>
      </c>
    </row>
    <row r="322" spans="1:3" x14ac:dyDescent="0.25">
      <c r="A322" s="36">
        <v>41403</v>
      </c>
      <c r="B322" s="121">
        <v>0.99646990740740737</v>
      </c>
      <c r="C322" s="26" t="s">
        <v>1220</v>
      </c>
    </row>
    <row r="323" spans="1:3" x14ac:dyDescent="0.25">
      <c r="A323" s="36">
        <v>41403</v>
      </c>
      <c r="B323" s="121">
        <v>0.99646990740740737</v>
      </c>
      <c r="C323" s="26" t="s">
        <v>1226</v>
      </c>
    </row>
    <row r="324" spans="1:3" x14ac:dyDescent="0.25">
      <c r="A324" s="36">
        <v>41403</v>
      </c>
      <c r="B324" s="121">
        <v>0.99646990740740737</v>
      </c>
      <c r="C324" s="26" t="s">
        <v>1227</v>
      </c>
    </row>
    <row r="325" spans="1:3" x14ac:dyDescent="0.25">
      <c r="A325" s="36">
        <v>41403</v>
      </c>
      <c r="B325" s="121">
        <v>0.99646990740740737</v>
      </c>
      <c r="C325" s="26" t="s">
        <v>1227</v>
      </c>
    </row>
    <row r="326" spans="1:3" x14ac:dyDescent="0.25">
      <c r="A326" s="36">
        <v>41403</v>
      </c>
      <c r="B326" s="121">
        <v>0.99646990740740737</v>
      </c>
      <c r="C326" s="26" t="s">
        <v>1224</v>
      </c>
    </row>
    <row r="327" spans="1:3" x14ac:dyDescent="0.25">
      <c r="A327" s="36">
        <v>41403</v>
      </c>
      <c r="B327" s="121">
        <v>0.99646990740740737</v>
      </c>
      <c r="C327" s="26" t="s">
        <v>1228</v>
      </c>
    </row>
    <row r="328" spans="1:3" x14ac:dyDescent="0.25">
      <c r="A328" s="36">
        <v>41403</v>
      </c>
      <c r="B328" s="121">
        <v>0.99646990740740737</v>
      </c>
      <c r="C328" s="26" t="s">
        <v>1385</v>
      </c>
    </row>
    <row r="329" spans="1:3" x14ac:dyDescent="0.25">
      <c r="A329" s="36">
        <v>41403</v>
      </c>
      <c r="B329" s="121">
        <v>0.99689814814814814</v>
      </c>
      <c r="C329" s="26" t="s">
        <v>1179</v>
      </c>
    </row>
    <row r="330" spans="1:3" x14ac:dyDescent="0.25">
      <c r="A330" s="36">
        <v>41403</v>
      </c>
      <c r="B330" s="121">
        <v>0.99699074074074068</v>
      </c>
      <c r="C330" s="26" t="s">
        <v>1386</v>
      </c>
    </row>
    <row r="331" spans="1:3" x14ac:dyDescent="0.25">
      <c r="A331" s="36">
        <v>41404</v>
      </c>
      <c r="B331" s="121">
        <v>1.5706018518518518E-2</v>
      </c>
      <c r="C331" s="26" t="s">
        <v>1387</v>
      </c>
    </row>
    <row r="332" spans="1:3" ht="30" x14ac:dyDescent="0.25">
      <c r="A332" s="36">
        <v>41404</v>
      </c>
      <c r="B332" s="121">
        <v>1.5983796296296295E-2</v>
      </c>
      <c r="C332" s="841" t="s">
        <v>1388</v>
      </c>
    </row>
    <row r="333" spans="1:3" ht="45" x14ac:dyDescent="0.25">
      <c r="A333" s="36">
        <v>41404</v>
      </c>
      <c r="B333" s="121">
        <v>1.7037037037037038E-2</v>
      </c>
      <c r="C333" s="841" t="s">
        <v>1389</v>
      </c>
    </row>
    <row r="334" spans="1:3" x14ac:dyDescent="0.25">
      <c r="A334" s="36">
        <v>41404</v>
      </c>
      <c r="B334" s="121">
        <v>2.3622685185185188E-2</v>
      </c>
      <c r="C334" s="26" t="s">
        <v>1390</v>
      </c>
    </row>
    <row r="335" spans="1:3" ht="30" x14ac:dyDescent="0.25">
      <c r="A335" s="36">
        <v>41404</v>
      </c>
      <c r="B335" s="121">
        <v>2.388888888888889E-2</v>
      </c>
      <c r="C335" s="841" t="s">
        <v>1391</v>
      </c>
    </row>
    <row r="336" spans="1:3" ht="45" x14ac:dyDescent="0.25">
      <c r="A336" s="36">
        <v>41404</v>
      </c>
      <c r="B336" s="121">
        <v>2.5046296296296299E-2</v>
      </c>
      <c r="C336" s="841" t="s">
        <v>1392</v>
      </c>
    </row>
    <row r="337" spans="1:3" x14ac:dyDescent="0.25">
      <c r="A337" s="36">
        <v>41404</v>
      </c>
      <c r="B337" s="121">
        <v>2.5879629629629627E-2</v>
      </c>
      <c r="C337" s="26" t="s">
        <v>1393</v>
      </c>
    </row>
    <row r="338" spans="1:3" x14ac:dyDescent="0.25">
      <c r="A338" s="36">
        <v>41404</v>
      </c>
      <c r="B338" s="121">
        <v>2.6296296296296293E-2</v>
      </c>
      <c r="C338" s="26" t="s">
        <v>1394</v>
      </c>
    </row>
    <row r="339" spans="1:3" ht="30" x14ac:dyDescent="0.25">
      <c r="A339" s="36">
        <v>41404</v>
      </c>
      <c r="B339" s="121">
        <v>2.6365740740740742E-2</v>
      </c>
      <c r="C339" s="841" t="s">
        <v>1395</v>
      </c>
    </row>
    <row r="340" spans="1:3" ht="45" x14ac:dyDescent="0.25">
      <c r="A340" s="36">
        <v>41404</v>
      </c>
      <c r="B340" s="121">
        <v>2.6446759259259264E-2</v>
      </c>
      <c r="C340" s="841" t="s">
        <v>1396</v>
      </c>
    </row>
    <row r="341" spans="1:3" x14ac:dyDescent="0.25">
      <c r="A341" s="36">
        <v>41404</v>
      </c>
      <c r="B341" s="121">
        <v>3.1956018518518516E-2</v>
      </c>
      <c r="C341" s="26" t="s">
        <v>1397</v>
      </c>
    </row>
    <row r="342" spans="1:3" ht="30" x14ac:dyDescent="0.25">
      <c r="A342" s="36">
        <v>41404</v>
      </c>
      <c r="B342" s="121">
        <v>3.3298611111111112E-2</v>
      </c>
      <c r="C342" s="841" t="s">
        <v>1398</v>
      </c>
    </row>
    <row r="343" spans="1:3" ht="45" x14ac:dyDescent="0.25">
      <c r="A343" s="36">
        <v>41404</v>
      </c>
      <c r="B343" s="121">
        <v>3.4502314814814812E-2</v>
      </c>
      <c r="C343" s="841" t="s">
        <v>1399</v>
      </c>
    </row>
    <row r="344" spans="1:3" x14ac:dyDescent="0.25">
      <c r="A344" s="36">
        <v>41404</v>
      </c>
      <c r="B344" s="121">
        <v>3.6909722222222226E-2</v>
      </c>
      <c r="C344" s="26" t="s">
        <v>1230</v>
      </c>
    </row>
    <row r="345" spans="1:3" x14ac:dyDescent="0.25">
      <c r="A345" s="36">
        <v>41404</v>
      </c>
      <c r="B345" s="121">
        <v>3.6909722222222226E-2</v>
      </c>
      <c r="C345" s="26" t="s">
        <v>1231</v>
      </c>
    </row>
    <row r="346" spans="1:3" x14ac:dyDescent="0.25">
      <c r="A346" s="36">
        <v>41404</v>
      </c>
      <c r="B346" s="121">
        <v>3.6909722222222226E-2</v>
      </c>
      <c r="C346" s="26" t="s">
        <v>1232</v>
      </c>
    </row>
    <row r="347" spans="1:3" x14ac:dyDescent="0.25">
      <c r="A347" s="36">
        <v>41404</v>
      </c>
      <c r="B347" s="121">
        <v>3.6909722222222226E-2</v>
      </c>
      <c r="C347" s="26" t="s">
        <v>1233</v>
      </c>
    </row>
    <row r="348" spans="1:3" x14ac:dyDescent="0.25">
      <c r="A348" s="36">
        <v>41404</v>
      </c>
      <c r="B348" s="121">
        <v>3.6909722222222226E-2</v>
      </c>
      <c r="C348" s="26" t="s">
        <v>1234</v>
      </c>
    </row>
    <row r="349" spans="1:3" x14ac:dyDescent="0.25">
      <c r="A349" s="36">
        <v>41404</v>
      </c>
      <c r="B349" s="121">
        <v>3.6909722222222226E-2</v>
      </c>
      <c r="C349" s="26" t="s">
        <v>1235</v>
      </c>
    </row>
    <row r="350" spans="1:3" x14ac:dyDescent="0.25">
      <c r="A350" s="36">
        <v>41404</v>
      </c>
      <c r="B350" s="121">
        <v>3.6909722222222226E-2</v>
      </c>
      <c r="C350" s="26" t="s">
        <v>1236</v>
      </c>
    </row>
    <row r="351" spans="1:3" x14ac:dyDescent="0.25">
      <c r="A351" s="36">
        <v>41404</v>
      </c>
      <c r="B351" s="121">
        <v>3.6909722222222226E-2</v>
      </c>
      <c r="C351" s="26" t="s">
        <v>1237</v>
      </c>
    </row>
    <row r="352" spans="1:3" x14ac:dyDescent="0.25">
      <c r="A352" s="36">
        <v>41404</v>
      </c>
      <c r="B352" s="121">
        <v>3.6909722222222226E-2</v>
      </c>
      <c r="C352" s="26" t="s">
        <v>1238</v>
      </c>
    </row>
    <row r="353" spans="1:3" x14ac:dyDescent="0.25">
      <c r="A353" s="36">
        <v>41404</v>
      </c>
      <c r="B353" s="121">
        <v>3.6909722222222226E-2</v>
      </c>
      <c r="C353" s="26" t="s">
        <v>1239</v>
      </c>
    </row>
    <row r="354" spans="1:3" x14ac:dyDescent="0.25">
      <c r="A354" s="36">
        <v>41404</v>
      </c>
      <c r="B354" s="121">
        <v>3.6909722222222226E-2</v>
      </c>
      <c r="C354" s="26" t="s">
        <v>1240</v>
      </c>
    </row>
    <row r="355" spans="1:3" x14ac:dyDescent="0.25">
      <c r="A355" s="36">
        <v>41404</v>
      </c>
      <c r="B355" s="121">
        <v>3.6909722222222226E-2</v>
      </c>
      <c r="C355" s="26" t="s">
        <v>1242</v>
      </c>
    </row>
    <row r="356" spans="1:3" x14ac:dyDescent="0.25">
      <c r="A356" s="36">
        <v>41404</v>
      </c>
      <c r="B356" s="121">
        <v>3.6909722222222226E-2</v>
      </c>
      <c r="C356" s="26" t="s">
        <v>1241</v>
      </c>
    </row>
    <row r="357" spans="1:3" x14ac:dyDescent="0.25">
      <c r="A357" s="36">
        <v>41404</v>
      </c>
      <c r="B357" s="121">
        <v>3.6909722222222226E-2</v>
      </c>
      <c r="C357" s="26" t="s">
        <v>1243</v>
      </c>
    </row>
    <row r="358" spans="1:3" x14ac:dyDescent="0.25">
      <c r="A358" s="36">
        <v>41404</v>
      </c>
      <c r="B358" s="121">
        <v>3.6909722222222226E-2</v>
      </c>
      <c r="C358" s="26" t="s">
        <v>1244</v>
      </c>
    </row>
    <row r="359" spans="1:3" x14ac:dyDescent="0.25">
      <c r="A359" s="36">
        <v>41404</v>
      </c>
      <c r="B359" s="121">
        <v>3.6909722222222226E-2</v>
      </c>
      <c r="C359" s="26" t="s">
        <v>1246</v>
      </c>
    </row>
    <row r="360" spans="1:3" x14ac:dyDescent="0.25">
      <c r="A360" s="36">
        <v>41404</v>
      </c>
      <c r="B360" s="121">
        <v>3.6909722222222226E-2</v>
      </c>
      <c r="C360" s="26" t="s">
        <v>1245</v>
      </c>
    </row>
    <row r="361" spans="1:3" x14ac:dyDescent="0.25">
      <c r="A361" s="36">
        <v>41404</v>
      </c>
      <c r="B361" s="121">
        <v>3.6909722222222226E-2</v>
      </c>
      <c r="C361" s="26" t="s">
        <v>1234</v>
      </c>
    </row>
    <row r="362" spans="1:3" x14ac:dyDescent="0.25">
      <c r="A362" s="36">
        <v>41404</v>
      </c>
      <c r="B362" s="121">
        <v>3.6909722222222226E-2</v>
      </c>
      <c r="C362" s="26" t="s">
        <v>1248</v>
      </c>
    </row>
    <row r="363" spans="1:3" x14ac:dyDescent="0.25">
      <c r="A363" s="36">
        <v>41404</v>
      </c>
      <c r="B363" s="121">
        <v>3.6909722222222226E-2</v>
      </c>
      <c r="C363" s="26" t="s">
        <v>1250</v>
      </c>
    </row>
    <row r="364" spans="1:3" x14ac:dyDescent="0.25">
      <c r="A364" s="36">
        <v>41404</v>
      </c>
      <c r="B364" s="121">
        <v>3.6909722222222226E-2</v>
      </c>
      <c r="C364" s="26" t="s">
        <v>1249</v>
      </c>
    </row>
    <row r="365" spans="1:3" x14ac:dyDescent="0.25">
      <c r="A365" s="36">
        <v>41404</v>
      </c>
      <c r="B365" s="121">
        <v>3.6909722222222226E-2</v>
      </c>
      <c r="C365" s="26" t="s">
        <v>1251</v>
      </c>
    </row>
    <row r="366" spans="1:3" x14ac:dyDescent="0.25">
      <c r="A366" s="36">
        <v>41404</v>
      </c>
      <c r="B366" s="121">
        <v>3.6909722222222226E-2</v>
      </c>
      <c r="C366" s="26" t="s">
        <v>1252</v>
      </c>
    </row>
    <row r="367" spans="1:3" x14ac:dyDescent="0.25">
      <c r="A367" s="36">
        <v>41404</v>
      </c>
      <c r="B367" s="121">
        <v>3.6909722222222226E-2</v>
      </c>
      <c r="C367" s="26" t="s">
        <v>1253</v>
      </c>
    </row>
    <row r="368" spans="1:3" x14ac:dyDescent="0.25">
      <c r="A368" s="36">
        <v>41404</v>
      </c>
      <c r="B368" s="121">
        <v>3.6909722222222226E-2</v>
      </c>
      <c r="C368" s="26" t="s">
        <v>1254</v>
      </c>
    </row>
    <row r="369" spans="1:3" x14ac:dyDescent="0.25">
      <c r="A369" s="36">
        <v>41404</v>
      </c>
      <c r="B369" s="121">
        <v>3.6909722222222226E-2</v>
      </c>
      <c r="C369" s="26" t="s">
        <v>1255</v>
      </c>
    </row>
    <row r="370" spans="1:3" x14ac:dyDescent="0.25">
      <c r="A370" s="36">
        <v>41404</v>
      </c>
      <c r="B370" s="121">
        <v>3.6909722222222226E-2</v>
      </c>
      <c r="C370" s="26" t="s">
        <v>1256</v>
      </c>
    </row>
    <row r="371" spans="1:3" x14ac:dyDescent="0.25">
      <c r="A371" s="36">
        <v>41404</v>
      </c>
      <c r="B371" s="121">
        <v>3.6909722222222226E-2</v>
      </c>
      <c r="C371" s="26" t="s">
        <v>1237</v>
      </c>
    </row>
    <row r="372" spans="1:3" x14ac:dyDescent="0.25">
      <c r="A372" s="36">
        <v>41404</v>
      </c>
      <c r="B372" s="121">
        <v>3.6909722222222226E-2</v>
      </c>
      <c r="C372" s="26" t="s">
        <v>1258</v>
      </c>
    </row>
    <row r="373" spans="1:3" x14ac:dyDescent="0.25">
      <c r="A373" s="36">
        <v>41404</v>
      </c>
      <c r="B373" s="121">
        <v>3.6909722222222226E-2</v>
      </c>
      <c r="C373" s="26" t="s">
        <v>1259</v>
      </c>
    </row>
    <row r="374" spans="1:3" x14ac:dyDescent="0.25">
      <c r="A374" s="36">
        <v>41404</v>
      </c>
      <c r="B374" s="121">
        <v>3.6909722222222226E-2</v>
      </c>
      <c r="C374" s="26" t="s">
        <v>1260</v>
      </c>
    </row>
    <row r="375" spans="1:3" x14ac:dyDescent="0.25">
      <c r="A375" s="36">
        <v>41404</v>
      </c>
      <c r="B375" s="121">
        <v>3.6909722222222226E-2</v>
      </c>
      <c r="C375" s="26" t="s">
        <v>1261</v>
      </c>
    </row>
    <row r="376" spans="1:3" x14ac:dyDescent="0.25">
      <c r="A376" s="36">
        <v>41404</v>
      </c>
      <c r="B376" s="121">
        <v>3.6909722222222226E-2</v>
      </c>
      <c r="C376" s="26" t="s">
        <v>1261</v>
      </c>
    </row>
    <row r="377" spans="1:3" x14ac:dyDescent="0.25">
      <c r="A377" s="36">
        <v>41404</v>
      </c>
      <c r="B377" s="121">
        <v>3.6909722222222226E-2</v>
      </c>
      <c r="C377" s="26" t="s">
        <v>1262</v>
      </c>
    </row>
    <row r="378" spans="1:3" x14ac:dyDescent="0.25">
      <c r="A378" s="36">
        <v>41404</v>
      </c>
      <c r="B378" s="121">
        <v>3.6909722222222226E-2</v>
      </c>
      <c r="C378" s="26" t="s">
        <v>1261</v>
      </c>
    </row>
    <row r="379" spans="1:3" x14ac:dyDescent="0.25">
      <c r="A379" s="36">
        <v>41404</v>
      </c>
      <c r="B379" s="121">
        <v>3.6909722222222226E-2</v>
      </c>
      <c r="C379" s="26" t="s">
        <v>1261</v>
      </c>
    </row>
    <row r="380" spans="1:3" x14ac:dyDescent="0.25">
      <c r="A380" s="36">
        <v>41404</v>
      </c>
      <c r="B380" s="121">
        <v>3.6909722222222226E-2</v>
      </c>
      <c r="C380" s="26" t="s">
        <v>1237</v>
      </c>
    </row>
    <row r="381" spans="1:3" x14ac:dyDescent="0.25">
      <c r="A381" s="36">
        <v>41404</v>
      </c>
      <c r="B381" s="121">
        <v>3.6909722222222226E-2</v>
      </c>
      <c r="C381" s="26" t="s">
        <v>1263</v>
      </c>
    </row>
    <row r="382" spans="1:3" x14ac:dyDescent="0.25">
      <c r="A382" s="36">
        <v>41404</v>
      </c>
      <c r="B382" s="121">
        <v>3.6909722222222226E-2</v>
      </c>
      <c r="C382" s="26" t="s">
        <v>1255</v>
      </c>
    </row>
    <row r="383" spans="1:3" x14ac:dyDescent="0.25">
      <c r="A383" s="36">
        <v>41404</v>
      </c>
      <c r="B383" s="121">
        <v>3.6909722222222226E-2</v>
      </c>
      <c r="C383" s="26" t="s">
        <v>1255</v>
      </c>
    </row>
    <row r="384" spans="1:3" x14ac:dyDescent="0.25">
      <c r="A384" s="36">
        <v>41404</v>
      </c>
      <c r="B384" s="121">
        <v>3.6909722222222226E-2</v>
      </c>
      <c r="C384" s="26" t="s">
        <v>1264</v>
      </c>
    </row>
    <row r="385" spans="1:3" x14ac:dyDescent="0.25">
      <c r="A385" s="36">
        <v>41404</v>
      </c>
      <c r="B385" s="121">
        <v>3.6909722222222226E-2</v>
      </c>
      <c r="C385" s="26" t="s">
        <v>1255</v>
      </c>
    </row>
    <row r="386" spans="1:3" x14ac:dyDescent="0.25">
      <c r="A386" s="36">
        <v>41404</v>
      </c>
      <c r="B386" s="121">
        <v>3.6909722222222226E-2</v>
      </c>
      <c r="C386" s="26" t="s">
        <v>1253</v>
      </c>
    </row>
    <row r="387" spans="1:3" x14ac:dyDescent="0.25">
      <c r="A387" s="36">
        <v>41404</v>
      </c>
      <c r="B387" s="121">
        <v>3.6909722222222226E-2</v>
      </c>
      <c r="C387" s="26" t="s">
        <v>1265</v>
      </c>
    </row>
    <row r="388" spans="1:3" x14ac:dyDescent="0.25">
      <c r="A388" s="36">
        <v>41404</v>
      </c>
      <c r="B388" s="121">
        <v>3.6909722222222226E-2</v>
      </c>
      <c r="C388" s="26" t="s">
        <v>1261</v>
      </c>
    </row>
    <row r="389" spans="1:3" x14ac:dyDescent="0.25">
      <c r="A389" s="36">
        <v>41404</v>
      </c>
      <c r="B389" s="121">
        <v>3.6909722222222226E-2</v>
      </c>
      <c r="C389" s="26" t="s">
        <v>1266</v>
      </c>
    </row>
    <row r="390" spans="1:3" x14ac:dyDescent="0.25">
      <c r="A390" s="36">
        <v>41404</v>
      </c>
      <c r="B390" s="121">
        <v>3.6909722222222226E-2</v>
      </c>
      <c r="C390" s="26" t="s">
        <v>1267</v>
      </c>
    </row>
    <row r="391" spans="1:3" x14ac:dyDescent="0.25">
      <c r="A391" s="36">
        <v>41404</v>
      </c>
      <c r="B391" s="121">
        <v>3.6909722222222226E-2</v>
      </c>
      <c r="C391" s="26" t="s">
        <v>1261</v>
      </c>
    </row>
    <row r="392" spans="1:3" x14ac:dyDescent="0.25">
      <c r="A392" s="36">
        <v>41404</v>
      </c>
      <c r="B392" s="121">
        <v>3.6909722222222226E-2</v>
      </c>
      <c r="C392" s="26" t="s">
        <v>1268</v>
      </c>
    </row>
    <row r="393" spans="1:3" x14ac:dyDescent="0.25">
      <c r="A393" s="36">
        <v>41404</v>
      </c>
      <c r="B393" s="121">
        <v>3.6909722222222226E-2</v>
      </c>
      <c r="C393" s="26" t="s">
        <v>1269</v>
      </c>
    </row>
    <row r="394" spans="1:3" x14ac:dyDescent="0.25">
      <c r="A394" s="36">
        <v>41404</v>
      </c>
      <c r="B394" s="121">
        <v>3.6909722222222226E-2</v>
      </c>
      <c r="C394" s="26" t="s">
        <v>1270</v>
      </c>
    </row>
    <row r="395" spans="1:3" x14ac:dyDescent="0.25">
      <c r="A395" s="36">
        <v>41404</v>
      </c>
      <c r="B395" s="121">
        <v>3.6909722222222226E-2</v>
      </c>
      <c r="C395" s="26" t="s">
        <v>1271</v>
      </c>
    </row>
    <row r="396" spans="1:3" x14ac:dyDescent="0.25">
      <c r="A396" s="36">
        <v>41404</v>
      </c>
      <c r="B396" s="121">
        <v>3.6909722222222226E-2</v>
      </c>
      <c r="C396" s="26" t="s">
        <v>1273</v>
      </c>
    </row>
    <row r="397" spans="1:3" x14ac:dyDescent="0.25">
      <c r="A397" s="36">
        <v>41404</v>
      </c>
      <c r="B397" s="121">
        <v>3.6909722222222226E-2</v>
      </c>
      <c r="C397" s="26" t="s">
        <v>1272</v>
      </c>
    </row>
    <row r="398" spans="1:3" x14ac:dyDescent="0.25">
      <c r="A398" s="36">
        <v>41404</v>
      </c>
      <c r="B398" s="121">
        <v>3.6909722222222226E-2</v>
      </c>
      <c r="C398" s="26" t="s">
        <v>1274</v>
      </c>
    </row>
    <row r="399" spans="1:3" x14ac:dyDescent="0.25">
      <c r="A399" s="36">
        <v>41404</v>
      </c>
      <c r="B399" s="121">
        <v>3.6909722222222226E-2</v>
      </c>
      <c r="C399" s="26" t="s">
        <v>1275</v>
      </c>
    </row>
    <row r="400" spans="1:3" x14ac:dyDescent="0.25">
      <c r="A400" s="36">
        <v>41404</v>
      </c>
      <c r="B400" s="121">
        <v>3.6909722222222226E-2</v>
      </c>
      <c r="C400" s="26" t="s">
        <v>1276</v>
      </c>
    </row>
    <row r="401" spans="1:3" x14ac:dyDescent="0.25">
      <c r="A401" s="36">
        <v>41404</v>
      </c>
      <c r="B401" s="121">
        <v>3.6909722222222226E-2</v>
      </c>
      <c r="C401" s="26" t="s">
        <v>1277</v>
      </c>
    </row>
    <row r="402" spans="1:3" x14ac:dyDescent="0.25">
      <c r="A402" s="36">
        <v>41404</v>
      </c>
      <c r="B402" s="121">
        <v>3.6909722222222226E-2</v>
      </c>
      <c r="C402" s="26" t="s">
        <v>1278</v>
      </c>
    </row>
    <row r="403" spans="1:3" x14ac:dyDescent="0.25">
      <c r="A403" s="36">
        <v>41404</v>
      </c>
      <c r="B403" s="121">
        <v>3.6909722222222226E-2</v>
      </c>
      <c r="C403" s="26" t="s">
        <v>1261</v>
      </c>
    </row>
    <row r="404" spans="1:3" x14ac:dyDescent="0.25">
      <c r="A404" s="36">
        <v>41404</v>
      </c>
      <c r="B404" s="121">
        <v>3.6909722222222226E-2</v>
      </c>
      <c r="C404" s="26" t="s">
        <v>1279</v>
      </c>
    </row>
    <row r="405" spans="1:3" x14ac:dyDescent="0.25">
      <c r="A405" s="36">
        <v>41404</v>
      </c>
      <c r="B405" s="121">
        <v>3.6909722222222226E-2</v>
      </c>
      <c r="C405" s="26" t="s">
        <v>1278</v>
      </c>
    </row>
    <row r="406" spans="1:3" x14ac:dyDescent="0.25">
      <c r="A406" s="36">
        <v>41404</v>
      </c>
      <c r="B406" s="121">
        <v>3.6909722222222226E-2</v>
      </c>
      <c r="C406" s="26" t="s">
        <v>1278</v>
      </c>
    </row>
    <row r="407" spans="1:3" x14ac:dyDescent="0.25">
      <c r="A407" s="36">
        <v>41404</v>
      </c>
      <c r="B407" s="121">
        <v>3.6909722222222226E-2</v>
      </c>
      <c r="C407" s="26" t="s">
        <v>1278</v>
      </c>
    </row>
    <row r="408" spans="1:3" x14ac:dyDescent="0.25">
      <c r="A408" s="36">
        <v>41404</v>
      </c>
      <c r="B408" s="121">
        <v>3.6909722222222226E-2</v>
      </c>
      <c r="C408" s="26" t="s">
        <v>1285</v>
      </c>
    </row>
    <row r="409" spans="1:3" x14ac:dyDescent="0.25">
      <c r="A409" s="36">
        <v>41404</v>
      </c>
      <c r="B409" s="121">
        <v>3.6909722222222226E-2</v>
      </c>
      <c r="C409" s="26" t="s">
        <v>1281</v>
      </c>
    </row>
    <row r="410" spans="1:3" x14ac:dyDescent="0.25">
      <c r="A410" s="36">
        <v>41404</v>
      </c>
      <c r="B410" s="121">
        <v>3.6909722222222226E-2</v>
      </c>
      <c r="C410" s="26" t="s">
        <v>1283</v>
      </c>
    </row>
    <row r="411" spans="1:3" x14ac:dyDescent="0.25">
      <c r="A411" s="36">
        <v>41404</v>
      </c>
      <c r="B411" s="121">
        <v>3.6909722222222226E-2</v>
      </c>
      <c r="C411" s="26" t="s">
        <v>1285</v>
      </c>
    </row>
    <row r="412" spans="1:3" x14ac:dyDescent="0.25">
      <c r="A412" s="36">
        <v>41404</v>
      </c>
      <c r="B412" s="121">
        <v>3.6909722222222226E-2</v>
      </c>
      <c r="C412" s="26" t="s">
        <v>1284</v>
      </c>
    </row>
    <row r="413" spans="1:3" x14ac:dyDescent="0.25">
      <c r="A413" s="36">
        <v>41404</v>
      </c>
      <c r="B413" s="121">
        <v>3.6909722222222226E-2</v>
      </c>
      <c r="C413" s="26" t="s">
        <v>1282</v>
      </c>
    </row>
    <row r="414" spans="1:3" x14ac:dyDescent="0.25">
      <c r="A414" s="36">
        <v>41404</v>
      </c>
      <c r="B414" s="121">
        <v>3.6909722222222226E-2</v>
      </c>
      <c r="C414" s="26" t="s">
        <v>1286</v>
      </c>
    </row>
    <row r="415" spans="1:3" x14ac:dyDescent="0.25">
      <c r="A415" s="36">
        <v>41404</v>
      </c>
      <c r="B415" s="121">
        <v>3.6909722222222226E-2</v>
      </c>
      <c r="C415" s="26" t="s">
        <v>1287</v>
      </c>
    </row>
    <row r="416" spans="1:3" x14ac:dyDescent="0.25">
      <c r="A416" s="36">
        <v>41404</v>
      </c>
      <c r="B416" s="121">
        <v>3.6909722222222226E-2</v>
      </c>
      <c r="C416" s="26" t="s">
        <v>1288</v>
      </c>
    </row>
    <row r="417" spans="1:3" x14ac:dyDescent="0.25">
      <c r="A417" s="36">
        <v>41404</v>
      </c>
      <c r="B417" s="121">
        <v>3.6909722222222226E-2</v>
      </c>
      <c r="C417" s="26" t="s">
        <v>1289</v>
      </c>
    </row>
    <row r="418" spans="1:3" x14ac:dyDescent="0.25">
      <c r="A418" s="36">
        <v>41404</v>
      </c>
      <c r="B418" s="121">
        <v>3.6909722222222226E-2</v>
      </c>
      <c r="C418" s="26" t="s">
        <v>1292</v>
      </c>
    </row>
    <row r="419" spans="1:3" x14ac:dyDescent="0.25">
      <c r="A419" s="36">
        <v>41404</v>
      </c>
      <c r="B419" s="121">
        <v>3.6909722222222226E-2</v>
      </c>
      <c r="C419" s="26" t="s">
        <v>1264</v>
      </c>
    </row>
    <row r="420" spans="1:3" x14ac:dyDescent="0.25">
      <c r="A420" s="36">
        <v>41404</v>
      </c>
      <c r="B420" s="121">
        <v>3.6909722222222226E-2</v>
      </c>
      <c r="C420" s="26" t="s">
        <v>1290</v>
      </c>
    </row>
    <row r="421" spans="1:3" x14ac:dyDescent="0.25">
      <c r="A421" s="36">
        <v>41404</v>
      </c>
      <c r="B421" s="121">
        <v>3.6909722222222226E-2</v>
      </c>
      <c r="C421" s="26" t="s">
        <v>1291</v>
      </c>
    </row>
    <row r="422" spans="1:3" x14ac:dyDescent="0.25">
      <c r="A422" s="36">
        <v>41404</v>
      </c>
      <c r="B422" s="121">
        <v>3.6909722222222226E-2</v>
      </c>
      <c r="C422" s="26" t="s">
        <v>1294</v>
      </c>
    </row>
    <row r="423" spans="1:3" x14ac:dyDescent="0.25">
      <c r="A423" s="36">
        <v>41404</v>
      </c>
      <c r="B423" s="121">
        <v>3.6909722222222226E-2</v>
      </c>
      <c r="C423" s="26" t="s">
        <v>1295</v>
      </c>
    </row>
    <row r="424" spans="1:3" x14ac:dyDescent="0.25">
      <c r="A424" s="36">
        <v>41404</v>
      </c>
      <c r="B424" s="121">
        <v>3.6909722222222226E-2</v>
      </c>
      <c r="C424" s="26" t="s">
        <v>1296</v>
      </c>
    </row>
    <row r="425" spans="1:3" x14ac:dyDescent="0.25">
      <c r="A425" s="36">
        <v>41404</v>
      </c>
      <c r="B425" s="121">
        <v>3.6909722222222226E-2</v>
      </c>
      <c r="C425" s="26" t="s">
        <v>1298</v>
      </c>
    </row>
    <row r="426" spans="1:3" x14ac:dyDescent="0.25">
      <c r="A426" s="36">
        <v>41404</v>
      </c>
      <c r="B426" s="121">
        <v>3.6909722222222226E-2</v>
      </c>
      <c r="C426" s="26" t="s">
        <v>1300</v>
      </c>
    </row>
    <row r="427" spans="1:3" x14ac:dyDescent="0.25">
      <c r="A427" s="36">
        <v>41404</v>
      </c>
      <c r="B427" s="121">
        <v>3.6909722222222226E-2</v>
      </c>
      <c r="C427" s="26" t="s">
        <v>1301</v>
      </c>
    </row>
    <row r="428" spans="1:3" x14ac:dyDescent="0.25">
      <c r="A428" s="36">
        <v>41404</v>
      </c>
      <c r="B428" s="121">
        <v>3.6909722222222226E-2</v>
      </c>
      <c r="C428" s="26" t="s">
        <v>1268</v>
      </c>
    </row>
    <row r="429" spans="1:3" x14ac:dyDescent="0.25">
      <c r="A429" s="36">
        <v>41404</v>
      </c>
      <c r="B429" s="121">
        <v>3.6909722222222226E-2</v>
      </c>
      <c r="C429" s="26" t="s">
        <v>1302</v>
      </c>
    </row>
    <row r="430" spans="1:3" x14ac:dyDescent="0.25">
      <c r="A430" s="36">
        <v>41404</v>
      </c>
      <c r="B430" s="121">
        <v>3.6909722222222226E-2</v>
      </c>
      <c r="C430" s="26" t="s">
        <v>1303</v>
      </c>
    </row>
    <row r="431" spans="1:3" x14ac:dyDescent="0.25">
      <c r="A431" s="36">
        <v>41404</v>
      </c>
      <c r="B431" s="121">
        <v>3.6909722222222226E-2</v>
      </c>
      <c r="C431" s="26" t="s">
        <v>1304</v>
      </c>
    </row>
    <row r="432" spans="1:3" x14ac:dyDescent="0.25">
      <c r="A432" s="36">
        <v>41404</v>
      </c>
      <c r="B432" s="121">
        <v>3.6909722222222226E-2</v>
      </c>
      <c r="C432" s="26" t="s">
        <v>1305</v>
      </c>
    </row>
    <row r="433" spans="1:3" x14ac:dyDescent="0.25">
      <c r="A433" s="36">
        <v>41404</v>
      </c>
      <c r="B433" s="121">
        <v>3.6909722222222226E-2</v>
      </c>
      <c r="C433" s="26" t="s">
        <v>1253</v>
      </c>
    </row>
    <row r="434" spans="1:3" x14ac:dyDescent="0.25">
      <c r="A434" s="36">
        <v>41404</v>
      </c>
      <c r="B434" s="121">
        <v>3.6909722222222226E-2</v>
      </c>
      <c r="C434" s="26" t="s">
        <v>1306</v>
      </c>
    </row>
    <row r="435" spans="1:3" x14ac:dyDescent="0.25">
      <c r="A435" s="36">
        <v>41404</v>
      </c>
      <c r="B435" s="121">
        <v>3.6909722222222226E-2</v>
      </c>
      <c r="C435" s="26" t="s">
        <v>1307</v>
      </c>
    </row>
    <row r="436" spans="1:3" x14ac:dyDescent="0.25">
      <c r="A436" s="36">
        <v>41404</v>
      </c>
      <c r="B436" s="121">
        <v>3.6909722222222226E-2</v>
      </c>
      <c r="C436" s="26" t="s">
        <v>1308</v>
      </c>
    </row>
    <row r="437" spans="1:3" x14ac:dyDescent="0.25">
      <c r="A437" s="36">
        <v>41404</v>
      </c>
      <c r="B437" s="121">
        <v>3.6909722222222226E-2</v>
      </c>
      <c r="C437" s="26" t="s">
        <v>1291</v>
      </c>
    </row>
    <row r="438" spans="1:3" x14ac:dyDescent="0.25">
      <c r="A438" s="36">
        <v>41404</v>
      </c>
      <c r="B438" s="121">
        <v>3.6909722222222226E-2</v>
      </c>
      <c r="C438" s="26" t="s">
        <v>1309</v>
      </c>
    </row>
    <row r="439" spans="1:3" x14ac:dyDescent="0.25">
      <c r="A439" s="36">
        <v>41404</v>
      </c>
      <c r="B439" s="121">
        <v>3.6909722222222226E-2</v>
      </c>
      <c r="C439" s="26" t="s">
        <v>1309</v>
      </c>
    </row>
    <row r="440" spans="1:3" x14ac:dyDescent="0.25">
      <c r="A440" s="36">
        <v>41404</v>
      </c>
      <c r="B440" s="121">
        <v>3.6909722222222226E-2</v>
      </c>
      <c r="C440" s="26" t="s">
        <v>1310</v>
      </c>
    </row>
    <row r="441" spans="1:3" x14ac:dyDescent="0.25">
      <c r="A441" s="36">
        <v>41404</v>
      </c>
      <c r="B441" s="121">
        <v>3.6909722222222226E-2</v>
      </c>
      <c r="C441" s="26" t="s">
        <v>1304</v>
      </c>
    </row>
    <row r="442" spans="1:3" x14ac:dyDescent="0.25">
      <c r="A442" s="36">
        <v>41404</v>
      </c>
      <c r="B442" s="121">
        <v>3.6909722222222226E-2</v>
      </c>
      <c r="C442" s="26" t="s">
        <v>1311</v>
      </c>
    </row>
    <row r="443" spans="1:3" x14ac:dyDescent="0.25">
      <c r="A443" s="36">
        <v>41404</v>
      </c>
      <c r="B443" s="121">
        <v>3.6909722222222226E-2</v>
      </c>
      <c r="C443" s="26" t="s">
        <v>1312</v>
      </c>
    </row>
    <row r="444" spans="1:3" x14ac:dyDescent="0.25">
      <c r="A444" s="36">
        <v>41404</v>
      </c>
      <c r="B444" s="121">
        <v>3.6909722222222226E-2</v>
      </c>
      <c r="C444" s="26" t="s">
        <v>1313</v>
      </c>
    </row>
    <row r="445" spans="1:3" x14ac:dyDescent="0.25">
      <c r="A445" s="36">
        <v>41404</v>
      </c>
      <c r="B445" s="121">
        <v>3.6909722222222226E-2</v>
      </c>
      <c r="C445" s="26" t="s">
        <v>1274</v>
      </c>
    </row>
    <row r="446" spans="1:3" x14ac:dyDescent="0.25">
      <c r="A446" s="36">
        <v>41404</v>
      </c>
      <c r="B446" s="121">
        <v>3.6909722222222226E-2</v>
      </c>
      <c r="C446" s="26" t="s">
        <v>1314</v>
      </c>
    </row>
    <row r="447" spans="1:3" x14ac:dyDescent="0.25">
      <c r="A447" s="36">
        <v>41404</v>
      </c>
      <c r="B447" s="121">
        <v>3.6909722222222226E-2</v>
      </c>
      <c r="C447" s="26" t="s">
        <v>1315</v>
      </c>
    </row>
    <row r="448" spans="1:3" x14ac:dyDescent="0.25">
      <c r="A448" s="36">
        <v>41404</v>
      </c>
      <c r="B448" s="121">
        <v>3.6909722222222226E-2</v>
      </c>
      <c r="C448" s="26" t="s">
        <v>1316</v>
      </c>
    </row>
    <row r="449" spans="1:3" x14ac:dyDescent="0.25">
      <c r="A449" s="36">
        <v>41404</v>
      </c>
      <c r="B449" s="121">
        <v>3.6909722222222226E-2</v>
      </c>
      <c r="C449" s="26" t="s">
        <v>1317</v>
      </c>
    </row>
    <row r="450" spans="1:3" x14ac:dyDescent="0.25">
      <c r="A450" s="36">
        <v>41404</v>
      </c>
      <c r="B450" s="121">
        <v>3.6909722222222226E-2</v>
      </c>
      <c r="C450" s="26" t="s">
        <v>1311</v>
      </c>
    </row>
    <row r="451" spans="1:3" x14ac:dyDescent="0.25">
      <c r="A451" s="36">
        <v>41404</v>
      </c>
      <c r="B451" s="121">
        <v>3.6909722222222226E-2</v>
      </c>
      <c r="C451" s="26" t="s">
        <v>1255</v>
      </c>
    </row>
    <row r="452" spans="1:3" x14ac:dyDescent="0.25">
      <c r="A452" s="36">
        <v>41404</v>
      </c>
      <c r="B452" s="121">
        <v>3.6909722222222226E-2</v>
      </c>
      <c r="C452" s="26" t="s">
        <v>1255</v>
      </c>
    </row>
    <row r="453" spans="1:3" x14ac:dyDescent="0.25">
      <c r="A453" s="36">
        <v>41404</v>
      </c>
      <c r="B453" s="121">
        <v>3.6909722222222226E-2</v>
      </c>
      <c r="C453" s="26" t="s">
        <v>1318</v>
      </c>
    </row>
    <row r="454" spans="1:3" x14ac:dyDescent="0.25">
      <c r="A454" s="36">
        <v>41404</v>
      </c>
      <c r="B454" s="121">
        <v>3.6909722222222226E-2</v>
      </c>
      <c r="C454" s="26" t="s">
        <v>1255</v>
      </c>
    </row>
    <row r="455" spans="1:3" x14ac:dyDescent="0.25">
      <c r="A455" s="36">
        <v>41404</v>
      </c>
      <c r="B455" s="121">
        <v>3.6909722222222226E-2</v>
      </c>
      <c r="C455" s="26" t="s">
        <v>1319</v>
      </c>
    </row>
    <row r="456" spans="1:3" x14ac:dyDescent="0.25">
      <c r="A456" s="36">
        <v>41404</v>
      </c>
      <c r="B456" s="121">
        <v>3.6909722222222226E-2</v>
      </c>
      <c r="C456" s="26" t="s">
        <v>1320</v>
      </c>
    </row>
    <row r="457" spans="1:3" x14ac:dyDescent="0.25">
      <c r="A457" s="36">
        <v>41404</v>
      </c>
      <c r="B457" s="121">
        <v>3.6909722222222226E-2</v>
      </c>
      <c r="C457" s="26" t="s">
        <v>1266</v>
      </c>
    </row>
    <row r="458" spans="1:3" x14ac:dyDescent="0.25">
      <c r="A458" s="36">
        <v>41404</v>
      </c>
      <c r="B458" s="121">
        <v>3.6909722222222226E-2</v>
      </c>
      <c r="C458" s="26" t="s">
        <v>1323</v>
      </c>
    </row>
    <row r="459" spans="1:3" x14ac:dyDescent="0.25">
      <c r="A459" s="36">
        <v>41404</v>
      </c>
      <c r="B459" s="121">
        <v>3.6909722222222226E-2</v>
      </c>
      <c r="C459" s="26" t="s">
        <v>1324</v>
      </c>
    </row>
    <row r="460" spans="1:3" x14ac:dyDescent="0.25">
      <c r="A460" s="36">
        <v>41404</v>
      </c>
      <c r="B460" s="121">
        <v>3.6909722222222226E-2</v>
      </c>
      <c r="C460" s="26" t="s">
        <v>1325</v>
      </c>
    </row>
    <row r="461" spans="1:3" x14ac:dyDescent="0.25">
      <c r="A461" s="36">
        <v>41404</v>
      </c>
      <c r="B461" s="121">
        <v>3.6909722222222226E-2</v>
      </c>
      <c r="C461" s="26" t="s">
        <v>1268</v>
      </c>
    </row>
    <row r="462" spans="1:3" x14ac:dyDescent="0.25">
      <c r="A462" s="36">
        <v>41404</v>
      </c>
      <c r="B462" s="121">
        <v>3.6909722222222226E-2</v>
      </c>
      <c r="C462" s="26" t="s">
        <v>1326</v>
      </c>
    </row>
    <row r="463" spans="1:3" x14ac:dyDescent="0.25">
      <c r="A463" s="36">
        <v>41404</v>
      </c>
      <c r="B463" s="121">
        <v>3.6909722222222226E-2</v>
      </c>
      <c r="C463" s="26" t="s">
        <v>1327</v>
      </c>
    </row>
    <row r="464" spans="1:3" x14ac:dyDescent="0.25">
      <c r="A464" s="36">
        <v>41404</v>
      </c>
      <c r="B464" s="121">
        <v>3.6909722222222226E-2</v>
      </c>
      <c r="C464" s="26" t="s">
        <v>1328</v>
      </c>
    </row>
    <row r="465" spans="1:3" x14ac:dyDescent="0.25">
      <c r="A465" s="36">
        <v>41404</v>
      </c>
      <c r="B465" s="121">
        <v>3.6909722222222226E-2</v>
      </c>
      <c r="C465" s="26" t="s">
        <v>1329</v>
      </c>
    </row>
    <row r="466" spans="1:3" x14ac:dyDescent="0.25">
      <c r="A466" s="36">
        <v>41404</v>
      </c>
      <c r="B466" s="121">
        <v>3.6909722222222226E-2</v>
      </c>
      <c r="C466" s="26" t="s">
        <v>1330</v>
      </c>
    </row>
    <row r="467" spans="1:3" x14ac:dyDescent="0.25">
      <c r="A467" s="36">
        <v>41404</v>
      </c>
      <c r="B467" s="121">
        <v>3.6909722222222226E-2</v>
      </c>
      <c r="C467" s="26" t="s">
        <v>1330</v>
      </c>
    </row>
    <row r="468" spans="1:3" x14ac:dyDescent="0.25">
      <c r="A468" s="36">
        <v>41404</v>
      </c>
      <c r="B468" s="121">
        <v>3.6909722222222226E-2</v>
      </c>
      <c r="C468" s="26" t="s">
        <v>1331</v>
      </c>
    </row>
    <row r="469" spans="1:3" x14ac:dyDescent="0.25">
      <c r="A469" s="36">
        <v>41404</v>
      </c>
      <c r="B469" s="121">
        <v>3.6909722222222226E-2</v>
      </c>
      <c r="C469" s="26" t="s">
        <v>1263</v>
      </c>
    </row>
    <row r="470" spans="1:3" x14ac:dyDescent="0.25">
      <c r="A470" s="36">
        <v>41404</v>
      </c>
      <c r="B470" s="121">
        <v>3.6909722222222226E-2</v>
      </c>
      <c r="C470" s="26" t="s">
        <v>1332</v>
      </c>
    </row>
    <row r="471" spans="1:3" x14ac:dyDescent="0.25">
      <c r="A471" s="36">
        <v>41404</v>
      </c>
      <c r="B471" s="121">
        <v>3.6909722222222226E-2</v>
      </c>
      <c r="C471" s="26" t="s">
        <v>1333</v>
      </c>
    </row>
    <row r="472" spans="1:3" x14ac:dyDescent="0.25">
      <c r="A472" s="36">
        <v>41404</v>
      </c>
      <c r="B472" s="121">
        <v>3.6909722222222226E-2</v>
      </c>
      <c r="C472" s="26" t="s">
        <v>1333</v>
      </c>
    </row>
    <row r="473" spans="1:3" x14ac:dyDescent="0.25">
      <c r="A473" s="36">
        <v>41404</v>
      </c>
      <c r="B473" s="121">
        <v>3.6909722222222226E-2</v>
      </c>
      <c r="C473" s="26" t="s">
        <v>1334</v>
      </c>
    </row>
    <row r="474" spans="1:3" x14ac:dyDescent="0.25">
      <c r="A474" s="36">
        <v>41404</v>
      </c>
      <c r="B474" s="121">
        <v>3.6909722222222226E-2</v>
      </c>
      <c r="C474" s="26" t="s">
        <v>1336</v>
      </c>
    </row>
    <row r="475" spans="1:3" x14ac:dyDescent="0.25">
      <c r="A475" s="36">
        <v>41404</v>
      </c>
      <c r="B475" s="121">
        <v>3.6909722222222226E-2</v>
      </c>
      <c r="C475" s="26" t="s">
        <v>1335</v>
      </c>
    </row>
    <row r="476" spans="1:3" x14ac:dyDescent="0.25">
      <c r="A476" s="36">
        <v>41404</v>
      </c>
      <c r="B476" s="121">
        <v>3.6909722222222226E-2</v>
      </c>
      <c r="C476" s="26" t="s">
        <v>1338</v>
      </c>
    </row>
    <row r="477" spans="1:3" x14ac:dyDescent="0.25">
      <c r="A477" s="36">
        <v>41404</v>
      </c>
      <c r="B477" s="121">
        <v>3.6909722222222226E-2</v>
      </c>
      <c r="C477" s="26" t="s">
        <v>1337</v>
      </c>
    </row>
    <row r="478" spans="1:3" x14ac:dyDescent="0.25">
      <c r="A478" s="36">
        <v>41404</v>
      </c>
      <c r="B478" s="121">
        <v>3.6909722222222226E-2</v>
      </c>
      <c r="C478" s="26" t="s">
        <v>1339</v>
      </c>
    </row>
    <row r="479" spans="1:3" x14ac:dyDescent="0.25">
      <c r="A479" s="36">
        <v>41404</v>
      </c>
      <c r="B479" s="121">
        <v>3.6909722222222226E-2</v>
      </c>
      <c r="C479" s="26" t="s">
        <v>1338</v>
      </c>
    </row>
    <row r="480" spans="1:3" x14ac:dyDescent="0.25">
      <c r="A480" s="36">
        <v>41404</v>
      </c>
      <c r="B480" s="121">
        <v>3.6909722222222226E-2</v>
      </c>
      <c r="C480" s="26" t="s">
        <v>1340</v>
      </c>
    </row>
    <row r="481" spans="1:3" x14ac:dyDescent="0.25">
      <c r="A481" s="36">
        <v>41404</v>
      </c>
      <c r="B481" s="121">
        <v>3.6909722222222226E-2</v>
      </c>
      <c r="C481" s="26" t="s">
        <v>1341</v>
      </c>
    </row>
    <row r="482" spans="1:3" x14ac:dyDescent="0.25">
      <c r="A482" s="36">
        <v>41404</v>
      </c>
      <c r="B482" s="121">
        <v>3.6909722222222226E-2</v>
      </c>
      <c r="C482" s="26" t="s">
        <v>1341</v>
      </c>
    </row>
    <row r="483" spans="1:3" x14ac:dyDescent="0.25">
      <c r="A483" s="36">
        <v>41404</v>
      </c>
      <c r="B483" s="121">
        <v>3.6909722222222226E-2</v>
      </c>
      <c r="C483" s="26" t="s">
        <v>1266</v>
      </c>
    </row>
    <row r="484" spans="1:3" x14ac:dyDescent="0.25">
      <c r="A484" s="36">
        <v>41404</v>
      </c>
      <c r="B484" s="121">
        <v>3.6909722222222226E-2</v>
      </c>
      <c r="C484" s="26" t="s">
        <v>1339</v>
      </c>
    </row>
    <row r="485" spans="1:3" x14ac:dyDescent="0.25">
      <c r="A485" s="36">
        <v>41404</v>
      </c>
      <c r="B485" s="121">
        <v>3.6909722222222226E-2</v>
      </c>
      <c r="C485" s="26" t="s">
        <v>1253</v>
      </c>
    </row>
    <row r="486" spans="1:3" x14ac:dyDescent="0.25">
      <c r="A486" s="36">
        <v>41404</v>
      </c>
      <c r="B486" s="121">
        <v>3.6909722222222226E-2</v>
      </c>
      <c r="C486" s="26" t="s">
        <v>1342</v>
      </c>
    </row>
    <row r="487" spans="1:3" x14ac:dyDescent="0.25">
      <c r="A487" s="36">
        <v>41404</v>
      </c>
      <c r="B487" s="121">
        <v>3.6909722222222226E-2</v>
      </c>
      <c r="C487" s="26" t="s">
        <v>1343</v>
      </c>
    </row>
    <row r="488" spans="1:3" x14ac:dyDescent="0.25">
      <c r="A488" s="36">
        <v>41404</v>
      </c>
      <c r="B488" s="121">
        <v>3.6909722222222226E-2</v>
      </c>
      <c r="C488" s="26" t="s">
        <v>1344</v>
      </c>
    </row>
    <row r="489" spans="1:3" x14ac:dyDescent="0.25">
      <c r="A489" s="36">
        <v>41404</v>
      </c>
      <c r="B489" s="121">
        <v>3.6909722222222226E-2</v>
      </c>
      <c r="C489" s="26" t="s">
        <v>1346</v>
      </c>
    </row>
    <row r="490" spans="1:3" x14ac:dyDescent="0.25">
      <c r="A490" s="36">
        <v>41404</v>
      </c>
      <c r="B490" s="121">
        <v>3.6909722222222226E-2</v>
      </c>
      <c r="C490" s="26" t="s">
        <v>1333</v>
      </c>
    </row>
    <row r="491" spans="1:3" x14ac:dyDescent="0.25">
      <c r="A491" s="36">
        <v>41404</v>
      </c>
      <c r="B491" s="121">
        <v>3.6909722222222226E-2</v>
      </c>
      <c r="C491" s="26" t="s">
        <v>1345</v>
      </c>
    </row>
    <row r="492" spans="1:3" x14ac:dyDescent="0.25">
      <c r="A492" s="36">
        <v>41404</v>
      </c>
      <c r="B492" s="121">
        <v>3.6909722222222226E-2</v>
      </c>
      <c r="C492" s="26" t="s">
        <v>1316</v>
      </c>
    </row>
    <row r="493" spans="1:3" x14ac:dyDescent="0.25">
      <c r="A493" s="36">
        <v>41404</v>
      </c>
      <c r="B493" s="121">
        <v>3.6909722222222226E-2</v>
      </c>
      <c r="C493" s="26" t="s">
        <v>1347</v>
      </c>
    </row>
    <row r="494" spans="1:3" x14ac:dyDescent="0.25">
      <c r="A494" s="36">
        <v>41404</v>
      </c>
      <c r="B494" s="121">
        <v>3.6909722222222226E-2</v>
      </c>
      <c r="C494" s="26" t="s">
        <v>1348</v>
      </c>
    </row>
    <row r="495" spans="1:3" x14ac:dyDescent="0.25">
      <c r="A495" s="36">
        <v>41404</v>
      </c>
      <c r="B495" s="121">
        <v>3.6909722222222226E-2</v>
      </c>
      <c r="C495" s="26" t="s">
        <v>1349</v>
      </c>
    </row>
    <row r="496" spans="1:3" x14ac:dyDescent="0.25">
      <c r="A496" s="36">
        <v>41404</v>
      </c>
      <c r="B496" s="121">
        <v>3.6909722222222226E-2</v>
      </c>
      <c r="C496" s="26" t="s">
        <v>1315</v>
      </c>
    </row>
    <row r="497" spans="1:3" x14ac:dyDescent="0.25">
      <c r="A497" s="36">
        <v>41404</v>
      </c>
      <c r="B497" s="121">
        <v>3.6909722222222226E-2</v>
      </c>
      <c r="C497" s="26" t="s">
        <v>1351</v>
      </c>
    </row>
    <row r="498" spans="1:3" x14ac:dyDescent="0.25">
      <c r="A498" s="36">
        <v>41404</v>
      </c>
      <c r="B498" s="121">
        <v>3.6909722222222226E-2</v>
      </c>
      <c r="C498" s="26" t="s">
        <v>1350</v>
      </c>
    </row>
    <row r="499" spans="1:3" x14ac:dyDescent="0.25">
      <c r="A499" s="36">
        <v>41404</v>
      </c>
      <c r="B499" s="121">
        <v>3.6909722222222226E-2</v>
      </c>
      <c r="C499" s="26" t="s">
        <v>1338</v>
      </c>
    </row>
    <row r="500" spans="1:3" x14ac:dyDescent="0.25">
      <c r="A500" s="36">
        <v>41404</v>
      </c>
      <c r="B500" s="121">
        <v>3.6909722222222226E-2</v>
      </c>
      <c r="C500" s="26" t="s">
        <v>1352</v>
      </c>
    </row>
    <row r="501" spans="1:3" x14ac:dyDescent="0.25">
      <c r="A501" s="36">
        <v>41404</v>
      </c>
      <c r="B501" s="121">
        <v>3.6909722222222226E-2</v>
      </c>
      <c r="C501" s="26" t="s">
        <v>1353</v>
      </c>
    </row>
    <row r="502" spans="1:3" x14ac:dyDescent="0.25">
      <c r="A502" s="36">
        <v>41404</v>
      </c>
      <c r="B502" s="121">
        <v>3.6909722222222226E-2</v>
      </c>
      <c r="C502" s="26" t="s">
        <v>1355</v>
      </c>
    </row>
    <row r="503" spans="1:3" x14ac:dyDescent="0.25">
      <c r="A503" s="36">
        <v>41404</v>
      </c>
      <c r="B503" s="121">
        <v>3.6921296296296292E-2</v>
      </c>
      <c r="C503" s="26" t="s">
        <v>1400</v>
      </c>
    </row>
    <row r="504" spans="1:3" x14ac:dyDescent="0.25">
      <c r="A504" s="36">
        <v>41404</v>
      </c>
      <c r="B504" s="121">
        <v>3.7696759259259256E-2</v>
      </c>
      <c r="C504" s="26" t="s">
        <v>1401</v>
      </c>
    </row>
    <row r="505" spans="1:3" x14ac:dyDescent="0.25">
      <c r="A505" s="36">
        <v>41404</v>
      </c>
      <c r="B505" s="121">
        <v>3.7696759259259256E-2</v>
      </c>
      <c r="C505" s="26" t="s">
        <v>1401</v>
      </c>
    </row>
    <row r="506" spans="1:3" x14ac:dyDescent="0.25">
      <c r="A506" s="36">
        <v>41404</v>
      </c>
      <c r="B506" s="121">
        <v>3.7696759259259256E-2</v>
      </c>
      <c r="C506" s="26" t="s">
        <v>1402</v>
      </c>
    </row>
    <row r="507" spans="1:3" x14ac:dyDescent="0.25">
      <c r="A507" s="36">
        <v>41404</v>
      </c>
      <c r="B507" s="121">
        <v>3.7696759259259256E-2</v>
      </c>
      <c r="C507" s="26" t="s">
        <v>1403</v>
      </c>
    </row>
    <row r="508" spans="1:3" x14ac:dyDescent="0.25">
      <c r="A508" s="36">
        <v>41404</v>
      </c>
      <c r="B508" s="121">
        <v>3.7696759259259256E-2</v>
      </c>
      <c r="C508" s="26" t="s">
        <v>1404</v>
      </c>
    </row>
    <row r="509" spans="1:3" x14ac:dyDescent="0.25">
      <c r="A509" s="36">
        <v>41404</v>
      </c>
      <c r="B509" s="121">
        <v>3.770833333333333E-2</v>
      </c>
      <c r="C509" s="26" t="s">
        <v>1402</v>
      </c>
    </row>
    <row r="510" spans="1:3" x14ac:dyDescent="0.25">
      <c r="A510" s="36">
        <v>41404</v>
      </c>
      <c r="B510" s="121">
        <v>3.770833333333333E-2</v>
      </c>
      <c r="C510" s="26" t="s">
        <v>1402</v>
      </c>
    </row>
    <row r="511" spans="1:3" x14ac:dyDescent="0.25">
      <c r="A511" s="36">
        <v>41404</v>
      </c>
      <c r="B511" s="121">
        <v>3.770833333333333E-2</v>
      </c>
      <c r="C511" s="26" t="s">
        <v>1404</v>
      </c>
    </row>
    <row r="512" spans="1:3" x14ac:dyDescent="0.25">
      <c r="A512" s="36">
        <v>41404</v>
      </c>
      <c r="B512" s="121">
        <v>3.770833333333333E-2</v>
      </c>
      <c r="C512" s="26" t="s">
        <v>1405</v>
      </c>
    </row>
    <row r="513" spans="1:3" x14ac:dyDescent="0.25">
      <c r="A513" s="36">
        <v>41404</v>
      </c>
      <c r="B513" s="121">
        <v>3.770833333333333E-2</v>
      </c>
      <c r="C513" s="26" t="s">
        <v>1406</v>
      </c>
    </row>
    <row r="514" spans="1:3" x14ac:dyDescent="0.25">
      <c r="A514" s="36">
        <v>41404</v>
      </c>
      <c r="B514" s="121">
        <v>3.770833333333333E-2</v>
      </c>
      <c r="C514" s="26" t="s">
        <v>1407</v>
      </c>
    </row>
    <row r="515" spans="1:3" x14ac:dyDescent="0.25">
      <c r="A515" s="36">
        <v>41404</v>
      </c>
      <c r="B515" s="121">
        <v>3.770833333333333E-2</v>
      </c>
      <c r="C515" s="26" t="s">
        <v>1406</v>
      </c>
    </row>
    <row r="516" spans="1:3" x14ac:dyDescent="0.25">
      <c r="A516" s="36">
        <v>41404</v>
      </c>
      <c r="B516" s="121">
        <v>3.770833333333333E-2</v>
      </c>
      <c r="C516" s="26" t="s">
        <v>1406</v>
      </c>
    </row>
    <row r="517" spans="1:3" x14ac:dyDescent="0.25">
      <c r="A517" s="36">
        <v>41404</v>
      </c>
      <c r="B517" s="121">
        <v>3.771990740740741E-2</v>
      </c>
      <c r="C517" s="26" t="s">
        <v>1408</v>
      </c>
    </row>
    <row r="518" spans="1:3" x14ac:dyDescent="0.25">
      <c r="A518" s="36">
        <v>41404</v>
      </c>
      <c r="B518" s="121">
        <v>3.771990740740741E-2</v>
      </c>
      <c r="C518" s="26" t="s">
        <v>1409</v>
      </c>
    </row>
    <row r="519" spans="1:3" x14ac:dyDescent="0.25">
      <c r="A519" s="36">
        <v>41404</v>
      </c>
      <c r="B519" s="121">
        <v>3.771990740740741E-2</v>
      </c>
      <c r="C519" s="26" t="s">
        <v>1409</v>
      </c>
    </row>
    <row r="520" spans="1:3" x14ac:dyDescent="0.25">
      <c r="A520" s="36">
        <v>41404</v>
      </c>
      <c r="B520" s="121">
        <v>3.771990740740741E-2</v>
      </c>
      <c r="C520" s="26" t="s">
        <v>1410</v>
      </c>
    </row>
    <row r="521" spans="1:3" x14ac:dyDescent="0.25">
      <c r="A521" s="36">
        <v>41404</v>
      </c>
      <c r="B521" s="121">
        <v>3.771990740740741E-2</v>
      </c>
      <c r="C521" s="26" t="s">
        <v>1411</v>
      </c>
    </row>
    <row r="522" spans="1:3" x14ac:dyDescent="0.25">
      <c r="A522" s="36">
        <v>41404</v>
      </c>
      <c r="B522" s="121">
        <v>3.771990740740741E-2</v>
      </c>
      <c r="C522" s="26" t="s">
        <v>1412</v>
      </c>
    </row>
    <row r="523" spans="1:3" x14ac:dyDescent="0.25">
      <c r="A523" s="36">
        <v>41404</v>
      </c>
      <c r="B523" s="121">
        <v>3.771990740740741E-2</v>
      </c>
      <c r="C523" s="26" t="s">
        <v>1413</v>
      </c>
    </row>
    <row r="524" spans="1:3" x14ac:dyDescent="0.25">
      <c r="A524" s="36">
        <v>41404</v>
      </c>
      <c r="B524" s="121">
        <v>3.771990740740741E-2</v>
      </c>
      <c r="C524" s="26" t="s">
        <v>1406</v>
      </c>
    </row>
    <row r="525" spans="1:3" x14ac:dyDescent="0.25">
      <c r="A525" s="36">
        <v>41404</v>
      </c>
      <c r="B525" s="121">
        <v>3.771990740740741E-2</v>
      </c>
      <c r="C525" s="26" t="s">
        <v>1409</v>
      </c>
    </row>
    <row r="526" spans="1:3" x14ac:dyDescent="0.25">
      <c r="A526" s="36">
        <v>41404</v>
      </c>
      <c r="B526" s="121">
        <v>3.771990740740741E-2</v>
      </c>
      <c r="C526" s="26" t="s">
        <v>1412</v>
      </c>
    </row>
    <row r="527" spans="1:3" x14ac:dyDescent="0.25">
      <c r="A527" s="36">
        <v>41404</v>
      </c>
      <c r="B527" s="121">
        <v>3.771990740740741E-2</v>
      </c>
      <c r="C527" s="26" t="s">
        <v>1409</v>
      </c>
    </row>
    <row r="528" spans="1:3" x14ac:dyDescent="0.25">
      <c r="A528" s="36">
        <v>41404</v>
      </c>
      <c r="B528" s="121">
        <v>3.771990740740741E-2</v>
      </c>
      <c r="C528" s="26" t="s">
        <v>1412</v>
      </c>
    </row>
    <row r="529" spans="1:3" x14ac:dyDescent="0.25">
      <c r="A529" s="36">
        <v>41404</v>
      </c>
      <c r="B529" s="121">
        <v>3.771990740740741E-2</v>
      </c>
      <c r="C529" s="26" t="s">
        <v>1412</v>
      </c>
    </row>
    <row r="530" spans="1:3" x14ac:dyDescent="0.25">
      <c r="A530" s="36">
        <v>41404</v>
      </c>
      <c r="B530" s="121">
        <v>3.771990740740741E-2</v>
      </c>
      <c r="C530" s="26" t="s">
        <v>1411</v>
      </c>
    </row>
    <row r="531" spans="1:3" x14ac:dyDescent="0.25">
      <c r="A531" s="36">
        <v>41404</v>
      </c>
      <c r="B531" s="121">
        <v>3.771990740740741E-2</v>
      </c>
      <c r="C531" s="26" t="s">
        <v>1414</v>
      </c>
    </row>
    <row r="532" spans="1:3" x14ac:dyDescent="0.25">
      <c r="A532" s="36">
        <v>41404</v>
      </c>
      <c r="B532" s="121">
        <v>3.771990740740741E-2</v>
      </c>
      <c r="C532" s="26" t="s">
        <v>1402</v>
      </c>
    </row>
    <row r="533" spans="1:3" x14ac:dyDescent="0.25">
      <c r="A533" s="36">
        <v>41404</v>
      </c>
      <c r="B533" s="121">
        <v>3.771990740740741E-2</v>
      </c>
      <c r="C533" s="26" t="s">
        <v>1409</v>
      </c>
    </row>
    <row r="534" spans="1:3" x14ac:dyDescent="0.25">
      <c r="A534" s="36">
        <v>41404</v>
      </c>
      <c r="B534" s="121">
        <v>3.771990740740741E-2</v>
      </c>
      <c r="C534" s="26" t="s">
        <v>1413</v>
      </c>
    </row>
    <row r="535" spans="1:3" x14ac:dyDescent="0.25">
      <c r="A535" s="36">
        <v>41404</v>
      </c>
      <c r="B535" s="121">
        <v>3.771990740740741E-2</v>
      </c>
      <c r="C535" s="26" t="s">
        <v>1413</v>
      </c>
    </row>
    <row r="536" spans="1:3" x14ac:dyDescent="0.25">
      <c r="A536" s="36">
        <v>41404</v>
      </c>
      <c r="B536" s="121">
        <v>3.771990740740741E-2</v>
      </c>
      <c r="C536" s="26" t="s">
        <v>1409</v>
      </c>
    </row>
    <row r="537" spans="1:3" x14ac:dyDescent="0.25">
      <c r="A537" s="36">
        <v>41404</v>
      </c>
      <c r="B537" s="121">
        <v>3.771990740740741E-2</v>
      </c>
      <c r="C537" s="26" t="s">
        <v>1415</v>
      </c>
    </row>
    <row r="538" spans="1:3" x14ac:dyDescent="0.25">
      <c r="A538" s="36">
        <v>41404</v>
      </c>
      <c r="B538" s="121">
        <v>3.771990740740741E-2</v>
      </c>
      <c r="C538" s="26" t="s">
        <v>1416</v>
      </c>
    </row>
    <row r="539" spans="1:3" x14ac:dyDescent="0.25">
      <c r="A539" s="36">
        <v>41404</v>
      </c>
      <c r="B539" s="121">
        <v>3.771990740740741E-2</v>
      </c>
      <c r="C539" s="26" t="s">
        <v>1412</v>
      </c>
    </row>
    <row r="540" spans="1:3" x14ac:dyDescent="0.25">
      <c r="A540" s="36">
        <v>41404</v>
      </c>
      <c r="B540" s="121">
        <v>3.771990740740741E-2</v>
      </c>
      <c r="C540" s="26" t="s">
        <v>1417</v>
      </c>
    </row>
    <row r="541" spans="1:3" x14ac:dyDescent="0.25">
      <c r="A541" s="36">
        <v>41404</v>
      </c>
      <c r="B541" s="121">
        <v>3.771990740740741E-2</v>
      </c>
      <c r="C541" s="26" t="s">
        <v>1417</v>
      </c>
    </row>
    <row r="542" spans="1:3" x14ac:dyDescent="0.25">
      <c r="A542" s="36">
        <v>41404</v>
      </c>
      <c r="B542" s="121">
        <v>3.771990740740741E-2</v>
      </c>
      <c r="C542" s="26" t="s">
        <v>1418</v>
      </c>
    </row>
    <row r="543" spans="1:3" x14ac:dyDescent="0.25">
      <c r="A543" s="36">
        <v>41404</v>
      </c>
      <c r="B543" s="121">
        <v>3.7731481481481484E-2</v>
      </c>
      <c r="C543" s="26" t="s">
        <v>1404</v>
      </c>
    </row>
    <row r="544" spans="1:3" x14ac:dyDescent="0.25">
      <c r="A544" s="36">
        <v>41404</v>
      </c>
      <c r="B544" s="121">
        <v>3.7731481481481484E-2</v>
      </c>
      <c r="C544" s="26" t="s">
        <v>1419</v>
      </c>
    </row>
    <row r="545" spans="1:3" ht="30" x14ac:dyDescent="0.25">
      <c r="A545" s="36">
        <v>41404</v>
      </c>
      <c r="B545" s="121">
        <v>3.7731481481481484E-2</v>
      </c>
      <c r="C545" s="841" t="s">
        <v>1420</v>
      </c>
    </row>
    <row r="546" spans="1:3" x14ac:dyDescent="0.25">
      <c r="A546" s="36">
        <v>41404</v>
      </c>
      <c r="B546" s="121">
        <v>3.7731481481481484E-2</v>
      </c>
      <c r="C546" s="26" t="s">
        <v>1421</v>
      </c>
    </row>
    <row r="547" spans="1:3" x14ac:dyDescent="0.25">
      <c r="A547" s="36">
        <v>41404</v>
      </c>
      <c r="B547" s="121">
        <v>3.788194444444444E-2</v>
      </c>
      <c r="C547" s="26" t="s">
        <v>1401</v>
      </c>
    </row>
    <row r="548" spans="1:3" x14ac:dyDescent="0.25">
      <c r="A548" s="36">
        <v>41404</v>
      </c>
      <c r="B548" s="121">
        <v>3.788194444444444E-2</v>
      </c>
      <c r="C548" s="26" t="s">
        <v>1401</v>
      </c>
    </row>
    <row r="549" spans="1:3" x14ac:dyDescent="0.25">
      <c r="A549" s="36">
        <v>41404</v>
      </c>
      <c r="B549" s="121">
        <v>3.788194444444444E-2</v>
      </c>
      <c r="C549" s="26" t="s">
        <v>1402</v>
      </c>
    </row>
    <row r="550" spans="1:3" x14ac:dyDescent="0.25">
      <c r="A550" s="36">
        <v>41404</v>
      </c>
      <c r="B550" s="121">
        <v>3.788194444444444E-2</v>
      </c>
      <c r="C550" s="26" t="s">
        <v>1403</v>
      </c>
    </row>
    <row r="551" spans="1:3" x14ac:dyDescent="0.25">
      <c r="A551" s="36">
        <v>41404</v>
      </c>
      <c r="B551" s="121">
        <v>3.788194444444444E-2</v>
      </c>
      <c r="C551" s="26" t="s">
        <v>1404</v>
      </c>
    </row>
    <row r="552" spans="1:3" x14ac:dyDescent="0.25">
      <c r="A552" s="36">
        <v>41404</v>
      </c>
      <c r="B552" s="121">
        <v>3.788194444444444E-2</v>
      </c>
      <c r="C552" s="26" t="s">
        <v>1402</v>
      </c>
    </row>
    <row r="553" spans="1:3" x14ac:dyDescent="0.25">
      <c r="A553" s="36">
        <v>41404</v>
      </c>
      <c r="B553" s="121">
        <v>3.788194444444444E-2</v>
      </c>
      <c r="C553" s="26" t="s">
        <v>1402</v>
      </c>
    </row>
    <row r="554" spans="1:3" x14ac:dyDescent="0.25">
      <c r="A554" s="36">
        <v>41404</v>
      </c>
      <c r="B554" s="121">
        <v>3.7893518518518521E-2</v>
      </c>
      <c r="C554" s="26" t="s">
        <v>1404</v>
      </c>
    </row>
    <row r="555" spans="1:3" x14ac:dyDescent="0.25">
      <c r="A555" s="36">
        <v>41404</v>
      </c>
      <c r="B555" s="121">
        <v>3.7893518518518521E-2</v>
      </c>
      <c r="C555" s="26" t="s">
        <v>1405</v>
      </c>
    </row>
    <row r="556" spans="1:3" x14ac:dyDescent="0.25">
      <c r="A556" s="36">
        <v>41404</v>
      </c>
      <c r="B556" s="121">
        <v>3.7893518518518521E-2</v>
      </c>
      <c r="C556" s="26" t="s">
        <v>1406</v>
      </c>
    </row>
    <row r="557" spans="1:3" x14ac:dyDescent="0.25">
      <c r="A557" s="36">
        <v>41404</v>
      </c>
      <c r="B557" s="121">
        <v>3.7893518518518521E-2</v>
      </c>
      <c r="C557" s="26" t="s">
        <v>1407</v>
      </c>
    </row>
    <row r="558" spans="1:3" x14ac:dyDescent="0.25">
      <c r="A558" s="36">
        <v>41404</v>
      </c>
      <c r="B558" s="121">
        <v>3.7893518518518521E-2</v>
      </c>
      <c r="C558" s="26" t="s">
        <v>1406</v>
      </c>
    </row>
    <row r="559" spans="1:3" x14ac:dyDescent="0.25">
      <c r="A559" s="36">
        <v>41404</v>
      </c>
      <c r="B559" s="121">
        <v>3.7893518518518521E-2</v>
      </c>
      <c r="C559" s="26" t="s">
        <v>1406</v>
      </c>
    </row>
    <row r="560" spans="1:3" x14ac:dyDescent="0.25">
      <c r="A560" s="36">
        <v>41404</v>
      </c>
      <c r="B560" s="121">
        <v>3.7905092592592594E-2</v>
      </c>
      <c r="C560" s="26" t="s">
        <v>1408</v>
      </c>
    </row>
    <row r="561" spans="1:3" x14ac:dyDescent="0.25">
      <c r="A561" s="36">
        <v>41404</v>
      </c>
      <c r="B561" s="121">
        <v>3.7905092592592594E-2</v>
      </c>
      <c r="C561" s="26" t="s">
        <v>1409</v>
      </c>
    </row>
    <row r="562" spans="1:3" x14ac:dyDescent="0.25">
      <c r="A562" s="36">
        <v>41404</v>
      </c>
      <c r="B562" s="121">
        <v>3.7905092592592594E-2</v>
      </c>
      <c r="C562" s="26" t="s">
        <v>1409</v>
      </c>
    </row>
    <row r="563" spans="1:3" x14ac:dyDescent="0.25">
      <c r="A563" s="36">
        <v>41404</v>
      </c>
      <c r="B563" s="121">
        <v>3.7905092592592594E-2</v>
      </c>
      <c r="C563" s="26" t="s">
        <v>1410</v>
      </c>
    </row>
    <row r="564" spans="1:3" x14ac:dyDescent="0.25">
      <c r="A564" s="36">
        <v>41404</v>
      </c>
      <c r="B564" s="121">
        <v>3.7905092592592594E-2</v>
      </c>
      <c r="C564" s="26" t="s">
        <v>1411</v>
      </c>
    </row>
    <row r="565" spans="1:3" x14ac:dyDescent="0.25">
      <c r="A565" s="36">
        <v>41404</v>
      </c>
      <c r="B565" s="121">
        <v>3.7905092592592594E-2</v>
      </c>
      <c r="C565" s="26" t="s">
        <v>1412</v>
      </c>
    </row>
    <row r="566" spans="1:3" x14ac:dyDescent="0.25">
      <c r="A566" s="36">
        <v>41404</v>
      </c>
      <c r="B566" s="121">
        <v>3.7905092592592594E-2</v>
      </c>
      <c r="C566" s="26" t="s">
        <v>1413</v>
      </c>
    </row>
    <row r="567" spans="1:3" x14ac:dyDescent="0.25">
      <c r="A567" s="36">
        <v>41404</v>
      </c>
      <c r="B567" s="121">
        <v>3.7905092592592594E-2</v>
      </c>
      <c r="C567" s="26" t="s">
        <v>1406</v>
      </c>
    </row>
    <row r="568" spans="1:3" x14ac:dyDescent="0.25">
      <c r="A568" s="36">
        <v>41404</v>
      </c>
      <c r="B568" s="121">
        <v>3.7905092592592594E-2</v>
      </c>
      <c r="C568" s="26" t="s">
        <v>1409</v>
      </c>
    </row>
    <row r="569" spans="1:3" x14ac:dyDescent="0.25">
      <c r="A569" s="36">
        <v>41404</v>
      </c>
      <c r="B569" s="121">
        <v>3.7905092592592594E-2</v>
      </c>
      <c r="C569" s="26" t="s">
        <v>1412</v>
      </c>
    </row>
    <row r="570" spans="1:3" x14ac:dyDescent="0.25">
      <c r="A570" s="36">
        <v>41404</v>
      </c>
      <c r="B570" s="121">
        <v>3.7905092592592594E-2</v>
      </c>
      <c r="C570" s="26" t="s">
        <v>1409</v>
      </c>
    </row>
    <row r="571" spans="1:3" x14ac:dyDescent="0.25">
      <c r="A571" s="36">
        <v>41404</v>
      </c>
      <c r="B571" s="121">
        <v>3.7905092592592594E-2</v>
      </c>
      <c r="C571" s="26" t="s">
        <v>1412</v>
      </c>
    </row>
    <row r="572" spans="1:3" x14ac:dyDescent="0.25">
      <c r="A572" s="36">
        <v>41404</v>
      </c>
      <c r="B572" s="121">
        <v>3.7905092592592594E-2</v>
      </c>
      <c r="C572" s="26" t="s">
        <v>1412</v>
      </c>
    </row>
    <row r="573" spans="1:3" x14ac:dyDescent="0.25">
      <c r="A573" s="36">
        <v>41404</v>
      </c>
      <c r="B573" s="121">
        <v>3.7905092592592594E-2</v>
      </c>
      <c r="C573" s="26" t="s">
        <v>1411</v>
      </c>
    </row>
    <row r="574" spans="1:3" x14ac:dyDescent="0.25">
      <c r="A574" s="36">
        <v>41404</v>
      </c>
      <c r="B574" s="121">
        <v>3.7905092592592594E-2</v>
      </c>
      <c r="C574" s="26" t="s">
        <v>1414</v>
      </c>
    </row>
    <row r="575" spans="1:3" x14ac:dyDescent="0.25">
      <c r="A575" s="36">
        <v>41404</v>
      </c>
      <c r="B575" s="121">
        <v>3.7905092592592594E-2</v>
      </c>
      <c r="C575" s="26" t="s">
        <v>1402</v>
      </c>
    </row>
    <row r="576" spans="1:3" x14ac:dyDescent="0.25">
      <c r="A576" s="36">
        <v>41404</v>
      </c>
      <c r="B576" s="121">
        <v>3.7905092592592594E-2</v>
      </c>
      <c r="C576" s="26" t="s">
        <v>1409</v>
      </c>
    </row>
    <row r="577" spans="1:3" x14ac:dyDescent="0.25">
      <c r="A577" s="36">
        <v>41404</v>
      </c>
      <c r="B577" s="121">
        <v>3.7905092592592594E-2</v>
      </c>
      <c r="C577" s="26" t="s">
        <v>1413</v>
      </c>
    </row>
    <row r="578" spans="1:3" x14ac:dyDescent="0.25">
      <c r="A578" s="36">
        <v>41404</v>
      </c>
      <c r="B578" s="121">
        <v>3.7905092592592594E-2</v>
      </c>
      <c r="C578" s="26" t="s">
        <v>1413</v>
      </c>
    </row>
    <row r="579" spans="1:3" x14ac:dyDescent="0.25">
      <c r="A579" s="36">
        <v>41404</v>
      </c>
      <c r="B579" s="121">
        <v>3.7905092592592594E-2</v>
      </c>
      <c r="C579" s="26" t="s">
        <v>1409</v>
      </c>
    </row>
    <row r="580" spans="1:3" x14ac:dyDescent="0.25">
      <c r="A580" s="36">
        <v>41404</v>
      </c>
      <c r="B580" s="121">
        <v>3.7905092592592594E-2</v>
      </c>
      <c r="C580" s="26" t="s">
        <v>1415</v>
      </c>
    </row>
    <row r="581" spans="1:3" x14ac:dyDescent="0.25">
      <c r="A581" s="36">
        <v>41404</v>
      </c>
      <c r="B581" s="121">
        <v>3.7905092592592594E-2</v>
      </c>
      <c r="C581" s="26" t="s">
        <v>1416</v>
      </c>
    </row>
    <row r="582" spans="1:3" x14ac:dyDescent="0.25">
      <c r="A582" s="36">
        <v>41404</v>
      </c>
      <c r="B582" s="121">
        <v>3.7905092592592594E-2</v>
      </c>
      <c r="C582" s="26" t="s">
        <v>1412</v>
      </c>
    </row>
    <row r="583" spans="1:3" x14ac:dyDescent="0.25">
      <c r="A583" s="36">
        <v>41404</v>
      </c>
      <c r="B583" s="121">
        <v>3.7905092592592594E-2</v>
      </c>
      <c r="C583" s="26" t="s">
        <v>1417</v>
      </c>
    </row>
    <row r="584" spans="1:3" x14ac:dyDescent="0.25">
      <c r="A584" s="36">
        <v>41404</v>
      </c>
      <c r="B584" s="121">
        <v>3.7905092592592594E-2</v>
      </c>
      <c r="C584" s="26" t="s">
        <v>1417</v>
      </c>
    </row>
    <row r="585" spans="1:3" x14ac:dyDescent="0.25">
      <c r="A585" s="36">
        <v>41404</v>
      </c>
      <c r="B585" s="121">
        <v>3.7905092592592594E-2</v>
      </c>
      <c r="C585" s="26" t="s">
        <v>1418</v>
      </c>
    </row>
    <row r="586" spans="1:3" x14ac:dyDescent="0.25">
      <c r="A586" s="36">
        <v>41404</v>
      </c>
      <c r="B586" s="121">
        <v>3.7905092592592594E-2</v>
      </c>
      <c r="C586" s="26" t="s">
        <v>1404</v>
      </c>
    </row>
    <row r="587" spans="1:3" x14ac:dyDescent="0.25">
      <c r="A587" s="36">
        <v>41404</v>
      </c>
      <c r="B587" s="121">
        <v>3.7905092592592594E-2</v>
      </c>
      <c r="C587" s="26" t="s">
        <v>1419</v>
      </c>
    </row>
    <row r="588" spans="1:3" ht="30" x14ac:dyDescent="0.25">
      <c r="A588" s="36">
        <v>41404</v>
      </c>
      <c r="B588" s="121">
        <v>3.7916666666666668E-2</v>
      </c>
      <c r="C588" s="841" t="s">
        <v>1422</v>
      </c>
    </row>
    <row r="589" spans="1:3" x14ac:dyDescent="0.25">
      <c r="A589" s="36">
        <v>41404</v>
      </c>
      <c r="B589" s="121">
        <v>3.7916666666666668E-2</v>
      </c>
      <c r="C589" s="26" t="s">
        <v>1423</v>
      </c>
    </row>
    <row r="590" spans="1:3" x14ac:dyDescent="0.25">
      <c r="A590" s="36">
        <v>41407</v>
      </c>
      <c r="B590" s="121">
        <v>0.59616898148148145</v>
      </c>
      <c r="C590" s="26" t="s">
        <v>1425</v>
      </c>
    </row>
    <row r="591" spans="1:3" x14ac:dyDescent="0.25">
      <c r="A591" s="36">
        <v>41407</v>
      </c>
      <c r="B591" s="121">
        <v>0.64640046296296294</v>
      </c>
      <c r="C591" s="26" t="s">
        <v>1397</v>
      </c>
    </row>
    <row r="592" spans="1:3" ht="30" x14ac:dyDescent="0.25">
      <c r="A592" s="36">
        <v>41407</v>
      </c>
      <c r="B592" s="121">
        <v>0.64670138888888895</v>
      </c>
      <c r="C592" s="841" t="s">
        <v>1426</v>
      </c>
    </row>
    <row r="593" spans="1:3" ht="45" x14ac:dyDescent="0.25">
      <c r="A593" s="36">
        <v>41407</v>
      </c>
      <c r="B593" s="121">
        <v>0.64739583333333328</v>
      </c>
      <c r="C593" s="841" t="s">
        <v>1427</v>
      </c>
    </row>
    <row r="594" spans="1:3" x14ac:dyDescent="0.25">
      <c r="A594" s="36">
        <v>41407</v>
      </c>
      <c r="B594" s="121">
        <v>0.68148148148148147</v>
      </c>
      <c r="C594" s="26" t="s">
        <v>1428</v>
      </c>
    </row>
    <row r="595" spans="1:3" x14ac:dyDescent="0.25">
      <c r="A595" s="36">
        <v>41407</v>
      </c>
      <c r="B595" s="121">
        <v>0.71359953703703705</v>
      </c>
      <c r="C595" s="26" t="s">
        <v>1429</v>
      </c>
    </row>
    <row r="596" spans="1:3" x14ac:dyDescent="0.25">
      <c r="A596" s="36">
        <v>41407</v>
      </c>
      <c r="B596" s="121">
        <v>0.71876157407407415</v>
      </c>
      <c r="C596" s="26" t="s">
        <v>1430</v>
      </c>
    </row>
    <row r="597" spans="1:3" ht="45" x14ac:dyDescent="0.25">
      <c r="A597" s="36">
        <v>41407</v>
      </c>
      <c r="B597" s="121">
        <v>0.71880787037037042</v>
      </c>
      <c r="C597" s="841" t="s">
        <v>1431</v>
      </c>
    </row>
    <row r="598" spans="1:3" x14ac:dyDescent="0.25">
      <c r="A598" s="36">
        <v>41407</v>
      </c>
      <c r="B598" s="121">
        <v>0.72002314814814816</v>
      </c>
      <c r="C598" s="26" t="s">
        <v>1432</v>
      </c>
    </row>
    <row r="599" spans="1:3" ht="45" x14ac:dyDescent="0.25">
      <c r="A599" s="36">
        <v>41407</v>
      </c>
      <c r="B599" s="121">
        <v>0.72039351851851852</v>
      </c>
      <c r="C599" s="841" t="s">
        <v>1433</v>
      </c>
    </row>
    <row r="600" spans="1:3" x14ac:dyDescent="0.25">
      <c r="A600" s="36">
        <v>41407</v>
      </c>
      <c r="B600" s="121">
        <v>0.72275462962962955</v>
      </c>
      <c r="C600" s="26" t="s">
        <v>1434</v>
      </c>
    </row>
    <row r="601" spans="1:3" ht="45" x14ac:dyDescent="0.25">
      <c r="A601" s="36">
        <v>41407</v>
      </c>
      <c r="B601" s="121">
        <v>0.72281249999999997</v>
      </c>
      <c r="C601" s="841" t="s">
        <v>1435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70" zoomScale="80" zoomScaleNormal="80" workbookViewId="0">
      <selection activeCell="N112" sqref="N112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4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5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5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5"/>
      <c r="B49" s="253" t="s">
        <v>772</v>
      </c>
      <c r="C49" s="412">
        <v>2</v>
      </c>
      <c r="D49" s="412"/>
    </row>
    <row r="50" spans="1:7" s="407" customFormat="1" x14ac:dyDescent="0.25">
      <c r="A50" s="855"/>
      <c r="B50" s="253" t="s">
        <v>773</v>
      </c>
      <c r="C50" s="412"/>
      <c r="D50" s="412"/>
    </row>
    <row r="51" spans="1:7" s="407" customFormat="1" ht="15.75" thickBot="1" x14ac:dyDescent="0.3">
      <c r="A51" s="856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4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5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5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5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5"/>
      <c r="B63" s="253" t="s">
        <v>773</v>
      </c>
      <c r="C63" s="327"/>
      <c r="D63" s="327"/>
    </row>
    <row r="64" spans="1:7" s="314" customFormat="1" ht="15.75" thickBot="1" x14ac:dyDescent="0.3">
      <c r="A64" s="856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3"/>
      <c r="C78" s="557"/>
      <c r="D78" s="819">
        <v>41367</v>
      </c>
      <c r="E78" s="818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6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22" t="s">
        <v>677</v>
      </c>
      <c r="N160" s="824" t="s">
        <v>679</v>
      </c>
    </row>
    <row r="161" spans="1:38" s="314" customFormat="1" ht="25.5" x14ac:dyDescent="0.25">
      <c r="A161" s="253" t="s">
        <v>769</v>
      </c>
      <c r="B161" s="826" t="s">
        <v>1116</v>
      </c>
      <c r="C161" s="539" t="s">
        <v>1099</v>
      </c>
      <c r="D161" s="811" t="s">
        <v>1129</v>
      </c>
      <c r="E161" s="811" t="s">
        <v>1103</v>
      </c>
      <c r="F161" s="810" t="s">
        <v>1104</v>
      </c>
      <c r="G161" s="810" t="s">
        <v>1105</v>
      </c>
      <c r="H161" s="810" t="s">
        <v>1106</v>
      </c>
      <c r="I161" s="821" t="s">
        <v>1107</v>
      </c>
      <c r="J161" s="812" t="s">
        <v>1108</v>
      </c>
      <c r="K161" s="813" t="s">
        <v>1109</v>
      </c>
      <c r="L161" s="823" t="s">
        <v>1132</v>
      </c>
      <c r="M161" s="823" t="s">
        <v>1131</v>
      </c>
      <c r="N161" s="823" t="s">
        <v>1130</v>
      </c>
    </row>
    <row r="162" spans="1:38" s="314" customFormat="1" x14ac:dyDescent="0.25">
      <c r="A162" s="254" t="s">
        <v>770</v>
      </c>
      <c r="B162" s="803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9">
        <v>45</v>
      </c>
      <c r="E163" s="809">
        <v>5</v>
      </c>
      <c r="F163" s="809">
        <v>7</v>
      </c>
      <c r="G163" s="809">
        <v>16</v>
      </c>
      <c r="H163" s="809">
        <v>10</v>
      </c>
      <c r="I163" s="809" t="s">
        <v>1145</v>
      </c>
      <c r="J163" s="809" t="s">
        <v>1119</v>
      </c>
      <c r="K163" s="809">
        <v>10</v>
      </c>
      <c r="L163" s="809" t="s">
        <v>1133</v>
      </c>
      <c r="M163" s="809" t="s">
        <v>988</v>
      </c>
      <c r="N163" s="809" t="s">
        <v>988</v>
      </c>
    </row>
    <row r="164" spans="1:38" s="314" customFormat="1" x14ac:dyDescent="0.25">
      <c r="A164" s="253" t="s">
        <v>772</v>
      </c>
      <c r="B164" s="820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5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7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3"/>
      <c r="C169" s="803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8" t="s">
        <v>1102</v>
      </c>
      <c r="D172" s="805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30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8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31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7" t="s">
        <v>1122</v>
      </c>
      <c r="I179" s="144" t="s">
        <v>906</v>
      </c>
      <c r="J179" s="817" t="s">
        <v>1120</v>
      </c>
      <c r="K179" s="817" t="s">
        <v>1121</v>
      </c>
      <c r="L179" s="831"/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33"/>
      <c r="N180"/>
    </row>
    <row r="181" spans="1:47" s="118" customFormat="1" x14ac:dyDescent="0.25">
      <c r="A181" s="253" t="s">
        <v>782</v>
      </c>
      <c r="D181" s="837" t="s">
        <v>1090</v>
      </c>
      <c r="E181" s="118" t="s">
        <v>1150</v>
      </c>
      <c r="F181" s="118" t="s">
        <v>1156</v>
      </c>
      <c r="G181" s="118" t="s">
        <v>1151</v>
      </c>
      <c r="I181" s="829" t="s">
        <v>1155</v>
      </c>
      <c r="L181" s="832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4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61" t="s">
        <v>2</v>
      </c>
      <c r="S11" s="862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5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3"/>
      <c r="S12" s="864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5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5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5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6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4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5" t="s">
        <v>814</v>
      </c>
      <c r="S17" s="866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5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7"/>
      <c r="S18" s="868"/>
      <c r="T18" s="618"/>
      <c r="W18" s="665"/>
      <c r="X18" s="505"/>
    </row>
    <row r="19" spans="1:37" x14ac:dyDescent="0.25">
      <c r="A19" s="855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5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5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6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4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7" t="s">
        <v>803</v>
      </c>
      <c r="M23" s="858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5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9">
        <f>HYPERLINK("https://eu1.salesforce.com/"&amp;F24,G24)</f>
        <v>0</v>
      </c>
      <c r="M24" s="860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5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5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5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6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4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61" t="s">
        <v>2</v>
      </c>
      <c r="S37" s="862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5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3"/>
      <c r="S38" s="864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5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5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5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6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4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5" t="s">
        <v>814</v>
      </c>
      <c r="S43" s="866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5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7"/>
      <c r="S44" s="868"/>
      <c r="T44" s="618"/>
      <c r="W44" s="665"/>
      <c r="X44" s="505"/>
    </row>
    <row r="45" spans="1:35" x14ac:dyDescent="0.25">
      <c r="A45" s="855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5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5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6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4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7" t="s">
        <v>803</v>
      </c>
      <c r="M49" s="858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5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9">
        <f>HYPERLINK("https://eu1.salesforce.com/"&amp;F50,G50)</f>
        <v>0</v>
      </c>
      <c r="M50" s="860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5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5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5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6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2013-05-13T13:58:50Z</dcterms:modified>
</cp:coreProperties>
</file>