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  <sheet name="Sheet2" sheetId="2" r:id="rId2"/>
  </sheets>
  <calcPr calcId="144315"/>
  <pivotCaches>
    <pivotCache cacheId="1" r:id="rId3"/>
  </pivotCaches>
  <webPublishing codePage="1252"/>
</workbook>
</file>

<file path=xl/calcChain.xml><?xml version="1.0" encoding="utf-8"?>
<calcChain xmlns="http://schemas.openxmlformats.org/spreadsheetml/2006/main">
  <c r="E9" i="1" l="1"/>
  <c r="E17" i="1"/>
  <c r="E25" i="1"/>
  <c r="E33" i="1"/>
  <c r="E41" i="1"/>
  <c r="E7" i="1"/>
  <c r="E10" i="1"/>
  <c r="E18" i="1"/>
  <c r="E26" i="1"/>
  <c r="E34" i="1"/>
  <c r="E42" i="1"/>
  <c r="H9" i="1"/>
  <c r="H17" i="1"/>
  <c r="H25" i="1"/>
  <c r="H33" i="1"/>
  <c r="H41" i="1"/>
  <c r="E15" i="1"/>
  <c r="E23" i="1"/>
  <c r="E31" i="1"/>
  <c r="E39" i="1"/>
  <c r="E47" i="1"/>
  <c r="E8" i="1"/>
  <c r="E16" i="1"/>
  <c r="E24" i="1"/>
  <c r="E32" i="1"/>
  <c r="E40" i="1"/>
  <c r="E48" i="1"/>
  <c r="H16" i="1"/>
  <c r="H32" i="1"/>
  <c r="H10" i="1"/>
  <c r="H34" i="1"/>
  <c r="H18" i="1"/>
  <c r="H48" i="1"/>
  <c r="H26" i="1"/>
  <c r="H40" i="1"/>
  <c r="E13" i="1"/>
  <c r="E21" i="1"/>
  <c r="E29" i="1"/>
  <c r="E37" i="1"/>
  <c r="E45" i="1"/>
  <c r="H7" i="1"/>
  <c r="E14" i="1"/>
  <c r="E22" i="1"/>
  <c r="H22" i="1" s="1"/>
  <c r="E30" i="1"/>
  <c r="E38" i="1"/>
  <c r="H38" i="1" s="1"/>
  <c r="E46" i="1"/>
  <c r="H13" i="1"/>
  <c r="H21" i="1"/>
  <c r="H29" i="1"/>
  <c r="H37" i="1"/>
  <c r="E11" i="1"/>
  <c r="H11" i="1" s="1"/>
  <c r="E19" i="1"/>
  <c r="H19" i="1" s="1"/>
  <c r="E27" i="1"/>
  <c r="H27" i="1" s="1"/>
  <c r="E35" i="1"/>
  <c r="H35" i="1" s="1"/>
  <c r="E43" i="1"/>
  <c r="H45" i="1"/>
  <c r="E12" i="1"/>
  <c r="E20" i="1"/>
  <c r="H20" i="1" s="1"/>
  <c r="E28" i="1"/>
  <c r="H28" i="1" s="1"/>
  <c r="E36" i="1"/>
  <c r="H36" i="1" s="1"/>
  <c r="E44" i="1"/>
  <c r="H44" i="1" s="1"/>
  <c r="H47" i="1"/>
  <c r="H15" i="1"/>
  <c r="H23" i="1"/>
  <c r="H31" i="1"/>
  <c r="H39" i="1"/>
  <c r="H8" i="1"/>
  <c r="H24" i="1"/>
  <c r="H46" i="1"/>
  <c r="H30" i="1"/>
  <c r="H14" i="1"/>
  <c r="H42" i="1"/>
  <c r="H12" i="1"/>
  <c r="F21" i="1"/>
  <c r="F37" i="1"/>
  <c r="G10" i="1"/>
  <c r="G26" i="1"/>
  <c r="G42" i="1"/>
  <c r="F14" i="1"/>
  <c r="F30" i="1"/>
  <c r="F46" i="1"/>
  <c r="G21" i="1"/>
  <c r="G37" i="1"/>
  <c r="F19" i="1"/>
  <c r="F35" i="1"/>
  <c r="G11" i="1"/>
  <c r="G27" i="1"/>
  <c r="G43" i="1"/>
  <c r="F44" i="1"/>
  <c r="F9" i="1"/>
  <c r="F25" i="1"/>
  <c r="F41" i="1"/>
  <c r="G14" i="1"/>
  <c r="G30" i="1"/>
  <c r="G46" i="1"/>
  <c r="F18" i="1"/>
  <c r="F34" i="1"/>
  <c r="G9" i="1"/>
  <c r="G25" i="1"/>
  <c r="G41" i="1"/>
  <c r="F16" i="1"/>
  <c r="G20" i="1"/>
  <c r="F32" i="1"/>
  <c r="G36" i="1"/>
  <c r="G44" i="1"/>
  <c r="F15" i="1"/>
  <c r="F23" i="1"/>
  <c r="F31" i="1"/>
  <c r="F39" i="1"/>
  <c r="F47" i="1"/>
  <c r="F12" i="1"/>
  <c r="F20" i="1"/>
  <c r="F28" i="1"/>
  <c r="F36" i="1"/>
  <c r="G40" i="1"/>
  <c r="F13" i="1"/>
  <c r="F29" i="1"/>
  <c r="F45" i="1"/>
  <c r="G18" i="1"/>
  <c r="G34" i="1"/>
  <c r="G7" i="1"/>
  <c r="F22" i="1"/>
  <c r="F38" i="1"/>
  <c r="G13" i="1"/>
  <c r="G29" i="1"/>
  <c r="G45" i="1"/>
  <c r="F11" i="1"/>
  <c r="F27" i="1"/>
  <c r="F43" i="1"/>
  <c r="G19" i="1"/>
  <c r="G35" i="1"/>
  <c r="G8" i="1"/>
  <c r="G16" i="1"/>
  <c r="G24" i="1"/>
  <c r="G32" i="1"/>
  <c r="F17" i="1"/>
  <c r="F33" i="1"/>
  <c r="F7" i="1"/>
  <c r="G22" i="1"/>
  <c r="G38" i="1"/>
  <c r="F10" i="1"/>
  <c r="F26" i="1"/>
  <c r="F42" i="1"/>
  <c r="G17" i="1"/>
  <c r="G33" i="1"/>
  <c r="F8" i="1"/>
  <c r="G12" i="1"/>
  <c r="F24" i="1"/>
  <c r="G28" i="1"/>
  <c r="F40" i="1"/>
  <c r="G15" i="1"/>
  <c r="G23" i="1"/>
  <c r="G31" i="1"/>
  <c r="G39" i="1"/>
  <c r="G47" i="1"/>
  <c r="G48" i="1"/>
  <c r="F48" i="1"/>
  <c r="H43" i="1"/>
</calcChain>
</file>

<file path=xl/sharedStrings.xml><?xml version="1.0" encoding="utf-8"?>
<sst xmlns="http://schemas.openxmlformats.org/spreadsheetml/2006/main" count="66" uniqueCount="64">
  <si>
    <t>This workbook contains eight VBA functions</t>
  </si>
  <si>
    <t>for working with pre-1900 dates.</t>
  </si>
  <si>
    <t>President</t>
  </si>
  <si>
    <t>Year</t>
  </si>
  <si>
    <t>Month</t>
  </si>
  <si>
    <t>Day</t>
  </si>
  <si>
    <t>XDATE</t>
  </si>
  <si>
    <t>XDATEYEARDIF</t>
  </si>
  <si>
    <t>XDATEDOW</t>
  </si>
  <si>
    <t>Examples: President Birthdays</t>
  </si>
  <si>
    <t>XDATEDIF</t>
  </si>
  <si>
    <t xml:space="preserve">George Washington  </t>
  </si>
  <si>
    <t xml:space="preserve">John Adams </t>
  </si>
  <si>
    <t xml:space="preserve">Thomas Jefferson </t>
  </si>
  <si>
    <t xml:space="preserve">James Madison </t>
  </si>
  <si>
    <t xml:space="preserve">James Monroe </t>
  </si>
  <si>
    <t xml:space="preserve">John Quincy Adams </t>
  </si>
  <si>
    <t xml:space="preserve">Andrew Jackson </t>
  </si>
  <si>
    <t xml:space="preserve">Martin Van Buren </t>
  </si>
  <si>
    <t xml:space="preserve">William Henry Harrison </t>
  </si>
  <si>
    <t xml:space="preserve">John Tyler </t>
  </si>
  <si>
    <t xml:space="preserve">James K. Polk </t>
  </si>
  <si>
    <t xml:space="preserve">Zachary Taylor </t>
  </si>
  <si>
    <t xml:space="preserve">Millard Fillmore </t>
  </si>
  <si>
    <t xml:space="preserve">Franklin Pierce </t>
  </si>
  <si>
    <t xml:space="preserve">James Buchanan </t>
  </si>
  <si>
    <t xml:space="preserve">Abraham Lincoln </t>
  </si>
  <si>
    <t xml:space="preserve">Andrew Johnson </t>
  </si>
  <si>
    <t xml:space="preserve">Ulysses S. Grant </t>
  </si>
  <si>
    <t xml:space="preserve">Rutherford B. Hayes </t>
  </si>
  <si>
    <t xml:space="preserve">James A. Garfield </t>
  </si>
  <si>
    <t xml:space="preserve">Chester A. Arthur </t>
  </si>
  <si>
    <t xml:space="preserve">Grover Cleveland </t>
  </si>
  <si>
    <t xml:space="preserve">Benjamin Harrison </t>
  </si>
  <si>
    <t xml:space="preserve">William McKinley </t>
  </si>
  <si>
    <t xml:space="preserve">Theodore Roosevelt </t>
  </si>
  <si>
    <t xml:space="preserve">William Howard Taft </t>
  </si>
  <si>
    <t xml:space="preserve">Woodrow Wilson </t>
  </si>
  <si>
    <t xml:space="preserve">Warren G. Harding </t>
  </si>
  <si>
    <t xml:space="preserve">Calvin Coolidge </t>
  </si>
  <si>
    <t xml:space="preserve">Herbert Hoover </t>
  </si>
  <si>
    <t xml:space="preserve">Franklin D. Roosevelt </t>
  </si>
  <si>
    <t xml:space="preserve">Harry S Truman </t>
  </si>
  <si>
    <t xml:space="preserve">Dwight D. Eisenhower </t>
  </si>
  <si>
    <t xml:space="preserve">John Kennedy </t>
  </si>
  <si>
    <t xml:space="preserve">Lyndon B. Johnson </t>
  </si>
  <si>
    <t xml:space="preserve">Richard M. Nixon </t>
  </si>
  <si>
    <t xml:space="preserve">Gerald R. Ford </t>
  </si>
  <si>
    <t xml:space="preserve">Jimmy Carter </t>
  </si>
  <si>
    <t xml:space="preserve">Ronald Reagan </t>
  </si>
  <si>
    <t xml:space="preserve">George H. W. Bush </t>
  </si>
  <si>
    <t xml:space="preserve">William J. Clinton </t>
  </si>
  <si>
    <t xml:space="preserve">George W. Bush </t>
  </si>
  <si>
    <t>Row Labels</t>
  </si>
  <si>
    <t>Grand Total</t>
  </si>
  <si>
    <t>Count of Month</t>
  </si>
  <si>
    <t>Sunday</t>
  </si>
  <si>
    <t>Monday</t>
  </si>
  <si>
    <t>Tuesday</t>
  </si>
  <si>
    <t>Wednesday</t>
  </si>
  <si>
    <t>Thursday</t>
  </si>
  <si>
    <t>Friday</t>
  </si>
  <si>
    <t>Saturday</t>
  </si>
  <si>
    <t>Count of XDATEDOW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</si>
</sst>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5" x14ac:knownFonts="1">
    <font>
      <sz val="11"/>
      <color indexed="8"/>
      <name val="Calibri"/>
      <family val="2"/>
    </font>
    <font>
      <sz val="11"/>
      <color indexed="8"/>
      <name val="Calibri"/>
      <family val="2"/>
    </font>
    <font>
      <b/>
      <i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5" fontId="0" fillId="0" borderId="0" xfId="0" applyNumberFormat="1"/>
  </cellXfs>
  <cellStyles count="2">
    <cellStyle name="Comma" xfId="1" builtinId="3"/>
    <cellStyle name="Normal" xfId="0" builtinId="0"/>
  </cellStyles>
  <dxfs count="1">
    <dxf>
      <numFmt numFmtId="165" formatCode="0.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hn Walkenbach" refreshedDate="38991.617135416665" createdVersion="3" refreshedVersion="3" minRefreshableVersion="3" recordCount="42">
  <cacheSource type="worksheet">
    <worksheetSource ref="A6:H48" sheet="Sheet1"/>
  </cacheSource>
  <cacheFields count="8">
    <cacheField name="President" numFmtId="0">
      <sharedItems count="42">
        <s v="George Washington  "/>
        <s v="John Adams "/>
        <s v="Thomas Jefferson "/>
        <s v="James Madison "/>
        <s v="James Monroe "/>
        <s v="John Quincy Adams "/>
        <s v="Andrew Jackson "/>
        <s v="Martin Van Buren "/>
        <s v="William Henry Harrison "/>
        <s v="John Tyler "/>
        <s v="James K. Polk "/>
        <s v="Zachary Taylor "/>
        <s v="Millard Fillmore "/>
        <s v="Franklin Pierce "/>
        <s v="James Buchanan "/>
        <s v="Abraham Lincoln "/>
        <s v="Andrew Johnson "/>
        <s v="Ulysses S. Grant "/>
        <s v="Rutherford B. Hayes "/>
        <s v="James A. Garfield "/>
        <s v="Chester A. Arthur "/>
        <s v="Grover Cleveland "/>
        <s v="Benjamin Harrison "/>
        <s v="William McKinley "/>
        <s v="Theodore Roosevelt "/>
        <s v="William Howard Taft "/>
        <s v="Woodrow Wilson "/>
        <s v="Warren G. Harding "/>
        <s v="Calvin Coolidge "/>
        <s v="Herbert Hoover "/>
        <s v="Franklin D. Roosevelt "/>
        <s v="Harry S Truman "/>
        <s v="Dwight D. Eisenhower "/>
        <s v="John Kennedy "/>
        <s v="Lyndon B. Johnson "/>
        <s v="Richard M. Nixon "/>
        <s v="Gerald R. Ford "/>
        <s v="Jimmy Carter "/>
        <s v="Ronald Reagan "/>
        <s v="George H. W. Bush "/>
        <s v="William J. Clinton "/>
        <s v="George W. Bush "/>
      </sharedItems>
    </cacheField>
    <cacheField name="Year" numFmtId="0">
      <sharedItems containsSemiMixedTypes="0" containsString="0" containsNumber="1" containsInteger="1" minValue="1732" maxValue="1946"/>
    </cacheField>
    <cacheField name="Month" numFmtId="0">
      <sharedItems containsSemiMixedTypes="0" containsString="0" containsNumber="1" containsInteger="1" minValue="1" maxValue="12" count="12">
        <n v="2"/>
        <n v="10"/>
        <n v="4"/>
        <n v="3"/>
        <n v="7"/>
        <n v="12"/>
        <n v="11"/>
        <n v="1"/>
        <n v="8"/>
        <n v="9"/>
        <n v="5"/>
        <n v="6"/>
      </sharedItems>
    </cacheField>
    <cacheField name="Day" numFmtId="0">
      <sharedItems containsSemiMixedTypes="0" containsString="0" containsNumber="1" containsInteger="1" minValue="1" maxValue="30"/>
    </cacheField>
    <cacheField name="XDATE" numFmtId="0">
      <sharedItems/>
    </cacheField>
    <cacheField name="XDATEDIF" numFmtId="164">
      <sharedItems containsSemiMixedTypes="0" containsString="0" containsNumber="1" containsInteger="1" minValue="21958" maxValue="100298"/>
    </cacheField>
    <cacheField name="XDATEYEARDIF" numFmtId="0">
      <sharedItems containsSemiMixedTypes="0" containsString="0" containsNumber="1" containsInteger="1" minValue="60" maxValue="274"/>
    </cacheField>
    <cacheField name="XDATEDOW" numFmtId="0">
      <sharedItems count="7">
        <s v="Friday"/>
        <s v="Sunday"/>
        <s v="Saturday"/>
        <s v="Tuesday"/>
        <s v="Thursday"/>
        <s v="Monday"/>
        <s v="Wednesda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n v="1732"/>
    <x v="0"/>
    <n v="22"/>
    <s v="February 22, 1732"/>
    <n v="100298"/>
    <n v="274"/>
    <x v="0"/>
  </r>
  <r>
    <x v="1"/>
    <n v="1735"/>
    <x v="1"/>
    <n v="30"/>
    <s v="October 30, 1735"/>
    <n v="98952"/>
    <n v="270"/>
    <x v="1"/>
  </r>
  <r>
    <x v="2"/>
    <n v="1743"/>
    <x v="2"/>
    <n v="13"/>
    <s v="April 13, 1743"/>
    <n v="96230"/>
    <n v="263"/>
    <x v="2"/>
  </r>
  <r>
    <x v="3"/>
    <n v="1751"/>
    <x v="3"/>
    <n v="16"/>
    <s v="March 16, 1751"/>
    <n v="93336"/>
    <n v="255"/>
    <x v="3"/>
  </r>
  <r>
    <x v="4"/>
    <n v="1758"/>
    <x v="2"/>
    <n v="28"/>
    <s v="April 28, 1758"/>
    <n v="90736"/>
    <n v="248"/>
    <x v="0"/>
  </r>
  <r>
    <x v="5"/>
    <n v="1767"/>
    <x v="4"/>
    <n v="11"/>
    <s v="July 11, 1767"/>
    <n v="87375"/>
    <n v="239"/>
    <x v="2"/>
  </r>
  <r>
    <x v="6"/>
    <n v="1767"/>
    <x v="3"/>
    <n v="15"/>
    <s v="March 15, 1767"/>
    <n v="87493"/>
    <n v="239"/>
    <x v="1"/>
  </r>
  <r>
    <x v="7"/>
    <n v="1782"/>
    <x v="5"/>
    <n v="5"/>
    <s v="December 5, 1782"/>
    <n v="81749"/>
    <n v="223"/>
    <x v="4"/>
  </r>
  <r>
    <x v="8"/>
    <n v="1773"/>
    <x v="0"/>
    <n v="9"/>
    <s v="February 9, 1773"/>
    <n v="85335"/>
    <n v="233"/>
    <x v="3"/>
  </r>
  <r>
    <x v="9"/>
    <n v="1790"/>
    <x v="3"/>
    <n v="29"/>
    <s v="March 29, 1790"/>
    <n v="79078"/>
    <n v="216"/>
    <x v="5"/>
  </r>
  <r>
    <x v="10"/>
    <n v="1795"/>
    <x v="6"/>
    <n v="2"/>
    <s v="November 2, 1795"/>
    <n v="77034"/>
    <n v="210"/>
    <x v="5"/>
  </r>
  <r>
    <x v="11"/>
    <n v="1784"/>
    <x v="6"/>
    <n v="24"/>
    <s v="November 24, 1784"/>
    <n v="81029"/>
    <n v="221"/>
    <x v="6"/>
  </r>
  <r>
    <x v="12"/>
    <n v="1800"/>
    <x v="7"/>
    <n v="7"/>
    <s v="January 7, 1800"/>
    <n v="75507"/>
    <n v="206"/>
    <x v="3"/>
  </r>
  <r>
    <x v="13"/>
    <n v="1804"/>
    <x v="6"/>
    <n v="23"/>
    <s v="November 23, 1804"/>
    <n v="73726"/>
    <n v="201"/>
    <x v="0"/>
  </r>
  <r>
    <x v="14"/>
    <n v="1791"/>
    <x v="2"/>
    <n v="23"/>
    <s v="April 23, 1791"/>
    <n v="78688"/>
    <n v="215"/>
    <x v="2"/>
  </r>
  <r>
    <x v="15"/>
    <n v="1809"/>
    <x v="0"/>
    <n v="12"/>
    <s v="February 12, 1809"/>
    <n v="72184"/>
    <n v="197"/>
    <x v="1"/>
  </r>
  <r>
    <x v="16"/>
    <n v="1808"/>
    <x v="5"/>
    <n v="29"/>
    <s v="December 29, 1808"/>
    <n v="72229"/>
    <n v="197"/>
    <x v="4"/>
  </r>
  <r>
    <x v="17"/>
    <n v="1822"/>
    <x v="2"/>
    <n v="27"/>
    <s v="April 27, 1822"/>
    <n v="67362"/>
    <n v="184"/>
    <x v="2"/>
  </r>
  <r>
    <x v="18"/>
    <n v="1822"/>
    <x v="1"/>
    <n v="4"/>
    <s v="October 4, 1822"/>
    <n v="67202"/>
    <n v="183"/>
    <x v="0"/>
  </r>
  <r>
    <x v="19"/>
    <n v="1831"/>
    <x v="6"/>
    <n v="19"/>
    <s v="November 19, 1831"/>
    <n v="63869"/>
    <n v="174"/>
    <x v="2"/>
  </r>
  <r>
    <x v="20"/>
    <n v="1829"/>
    <x v="1"/>
    <n v="5"/>
    <s v="October 5, 1829"/>
    <n v="64644"/>
    <n v="176"/>
    <x v="5"/>
  </r>
  <r>
    <x v="21"/>
    <n v="1837"/>
    <x v="3"/>
    <n v="18"/>
    <s v="March 18, 1837"/>
    <n v="61923"/>
    <n v="169"/>
    <x v="2"/>
  </r>
  <r>
    <x v="22"/>
    <n v="1833"/>
    <x v="8"/>
    <n v="20"/>
    <s v="August 20, 1833"/>
    <n v="63229"/>
    <n v="173"/>
    <x v="3"/>
  </r>
  <r>
    <x v="23"/>
    <n v="1843"/>
    <x v="7"/>
    <n v="29"/>
    <s v="January 29, 1843"/>
    <n v="59780"/>
    <n v="163"/>
    <x v="1"/>
  </r>
  <r>
    <x v="24"/>
    <n v="1858"/>
    <x v="1"/>
    <n v="27"/>
    <s v="October 27, 1858"/>
    <n v="54030"/>
    <n v="147"/>
    <x v="6"/>
  </r>
  <r>
    <x v="25"/>
    <n v="1857"/>
    <x v="9"/>
    <n v="15"/>
    <s v="September 15, 1857"/>
    <n v="54437"/>
    <n v="149"/>
    <x v="3"/>
  </r>
  <r>
    <x v="26"/>
    <n v="1856"/>
    <x v="5"/>
    <n v="28"/>
    <s v="December 28, 1856"/>
    <n v="54698"/>
    <n v="149"/>
    <x v="1"/>
  </r>
  <r>
    <x v="27"/>
    <n v="1865"/>
    <x v="6"/>
    <n v="2"/>
    <s v="November 2, 1865"/>
    <n v="51467"/>
    <n v="140"/>
    <x v="4"/>
  </r>
  <r>
    <x v="28"/>
    <n v="1872"/>
    <x v="4"/>
    <n v="4"/>
    <s v="July 4, 1872"/>
    <n v="49031"/>
    <n v="134"/>
    <x v="4"/>
  </r>
  <r>
    <x v="29"/>
    <n v="1874"/>
    <x v="8"/>
    <n v="10"/>
    <s v="August 10, 1874"/>
    <n v="48264"/>
    <n v="132"/>
    <x v="5"/>
  </r>
  <r>
    <x v="30"/>
    <n v="1882"/>
    <x v="7"/>
    <n v="30"/>
    <s v="January 30, 1882"/>
    <n v="45534"/>
    <n v="124"/>
    <x v="5"/>
  </r>
  <r>
    <x v="31"/>
    <n v="1884"/>
    <x v="10"/>
    <n v="8"/>
    <s v="May 8, 1884"/>
    <n v="44705"/>
    <n v="122"/>
    <x v="4"/>
  </r>
  <r>
    <x v="32"/>
    <n v="1890"/>
    <x v="1"/>
    <n v="14"/>
    <s v="October 14, 1890"/>
    <n v="42355"/>
    <n v="115"/>
    <x v="3"/>
  </r>
  <r>
    <x v="33"/>
    <n v="1917"/>
    <x v="10"/>
    <n v="29"/>
    <s v="May 29, 1917"/>
    <n v="32632"/>
    <n v="89"/>
    <x v="3"/>
  </r>
  <r>
    <x v="34"/>
    <n v="1908"/>
    <x v="8"/>
    <n v="27"/>
    <s v="August 27, 1908"/>
    <n v="35829"/>
    <n v="98"/>
    <x v="4"/>
  </r>
  <r>
    <x v="35"/>
    <n v="1913"/>
    <x v="7"/>
    <n v="9"/>
    <s v="January 9, 1913"/>
    <n v="34233"/>
    <n v="93"/>
    <x v="4"/>
  </r>
  <r>
    <x v="36"/>
    <n v="1913"/>
    <x v="4"/>
    <n v="14"/>
    <s v="July 14, 1913"/>
    <n v="34047"/>
    <n v="93"/>
    <x v="5"/>
  </r>
  <r>
    <x v="37"/>
    <n v="1924"/>
    <x v="1"/>
    <n v="1"/>
    <s v="October 1, 1924"/>
    <n v="29950"/>
    <n v="82"/>
    <x v="6"/>
  </r>
  <r>
    <x v="38"/>
    <n v="1911"/>
    <x v="0"/>
    <n v="6"/>
    <s v="February 6, 1911"/>
    <n v="34936"/>
    <n v="95"/>
    <x v="5"/>
  </r>
  <r>
    <x v="39"/>
    <n v="1924"/>
    <x v="11"/>
    <n v="12"/>
    <s v="June 12, 1924"/>
    <n v="30061"/>
    <n v="82"/>
    <x v="4"/>
  </r>
  <r>
    <x v="40"/>
    <n v="1946"/>
    <x v="8"/>
    <n v="19"/>
    <s v="August 19, 1946"/>
    <n v="21958"/>
    <n v="60"/>
    <x v="5"/>
  </r>
  <r>
    <x v="41"/>
    <n v="1946"/>
    <x v="4"/>
    <n v="6"/>
    <s v="July 6, 1946"/>
    <n v="22002"/>
    <n v="6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6:B29" firstHeaderRow="1" firstDataRow="1" firstDataCol="1"/>
  <pivotFields count="8">
    <pivotField showAll="0"/>
    <pivotField showAll="0"/>
    <pivotField axis="axisRow" dataField="1" showAll="0">
      <items count="13">
        <item x="7"/>
        <item x="0"/>
        <item x="3"/>
        <item x="2"/>
        <item x="10"/>
        <item x="11"/>
        <item x="4"/>
        <item x="8"/>
        <item x="9"/>
        <item x="1"/>
        <item x="6"/>
        <item x="5"/>
        <item t="default"/>
      </items>
    </pivotField>
    <pivotField showAll="0"/>
    <pivotField showAll="0"/>
    <pivotField numFmtId="164" showAll="0"/>
    <pivotField showAll="0"/>
    <pivotField showAll="0">
      <items count="8">
        <item x="1"/>
        <item x="5"/>
        <item x="3"/>
        <item x="6"/>
        <item x="4"/>
        <item x="0"/>
        <item x="2"/>
        <item t="default"/>
      </items>
    </pivotField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Month" fld="2" subtotal="count" showDataAs="percentOfTotal" baseField="0" baseItem="0" numFmtId="1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B11" firstHeaderRow="1" firstDataRow="1" firstDataCol="1"/>
  <pivotFields count="8">
    <pivotField showAll="0">
      <items count="43">
        <item x="15"/>
        <item x="6"/>
        <item x="16"/>
        <item x="22"/>
        <item x="28"/>
        <item x="20"/>
        <item x="32"/>
        <item x="30"/>
        <item x="13"/>
        <item x="39"/>
        <item x="41"/>
        <item x="0"/>
        <item x="36"/>
        <item x="21"/>
        <item x="31"/>
        <item x="29"/>
        <item x="19"/>
        <item x="14"/>
        <item x="10"/>
        <item x="3"/>
        <item x="4"/>
        <item x="37"/>
        <item x="1"/>
        <item x="33"/>
        <item x="5"/>
        <item x="9"/>
        <item x="34"/>
        <item x="7"/>
        <item x="12"/>
        <item x="35"/>
        <item x="38"/>
        <item x="18"/>
        <item x="24"/>
        <item x="2"/>
        <item x="17"/>
        <item x="27"/>
        <item x="8"/>
        <item x="25"/>
        <item x="40"/>
        <item x="23"/>
        <item x="26"/>
        <item x="11"/>
        <item t="default"/>
      </items>
    </pivotField>
    <pivotField showAll="0"/>
    <pivotField showAll="0">
      <items count="13">
        <item x="7"/>
        <item x="0"/>
        <item x="3"/>
        <item x="2"/>
        <item x="10"/>
        <item x="11"/>
        <item x="4"/>
        <item x="8"/>
        <item x="9"/>
        <item x="1"/>
        <item x="6"/>
        <item x="5"/>
        <item t="default"/>
      </items>
    </pivotField>
    <pivotField showAll="0"/>
    <pivotField showAll="0"/>
    <pivotField numFmtId="164" showAll="0"/>
    <pivotField showAll="0"/>
    <pivotField axis="axisRow" dataField="1" showAll="0">
      <items count="8">
        <item x="1"/>
        <item x="5"/>
        <item x="3"/>
        <item x="6"/>
        <item x="4"/>
        <item x="0"/>
        <item x="2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XDATEDOW" fld="7" subtotal="count" showDataAs="percentOfTotal" baseField="0" baseItem="0" numFmtId="10"/>
  </dataFields>
  <formats count="1">
    <format dxfId="0">
      <pivotArea collapsedLevelsAreSubtotals="1" fieldPosition="0">
        <references count="1">
          <reference field="7" count="0"/>
        </references>
      </pivotArea>
    </format>
  </format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7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showGridLines="0" tabSelected="1" workbookViewId="0"/>
  </sheetViews>
  <sheetFormatPr defaultRowHeight="15" x14ac:dyDescent="0.25"/>
  <cols>
    <col min="1" max="1" width="24.28515625" customWidth="1"/>
    <col min="2" max="2" width="8.5703125" customWidth="1"/>
    <col min="3" max="3" width="6.85546875" customWidth="1"/>
    <col min="4" max="4" width="6.140625" customWidth="1"/>
    <col min="5" max="5" width="19.85546875" bestFit="1" customWidth="1"/>
    <col min="6" max="6" width="13.85546875" customWidth="1"/>
    <col min="7" max="7" width="15.85546875" customWidth="1"/>
    <col min="8" max="8" width="13.28515625" customWidth="1"/>
  </cols>
  <sheetData>
    <row r="1" spans="1:8" ht="15.75" x14ac:dyDescent="0.25">
      <c r="A1" s="4" t="s">
        <v>0</v>
      </c>
      <c r="B1" s="5"/>
      <c r="C1" s="5"/>
      <c r="D1" s="5"/>
      <c r="E1" s="5"/>
      <c r="F1" s="5"/>
      <c r="G1" s="5"/>
      <c r="H1" s="5"/>
    </row>
    <row r="2" spans="1:8" ht="15.75" x14ac:dyDescent="0.25">
      <c r="A2" s="4" t="s">
        <v>1</v>
      </c>
      <c r="B2" s="5"/>
      <c r="C2" s="5"/>
      <c r="D2" s="5"/>
      <c r="E2" s="5"/>
      <c r="F2" s="5"/>
      <c r="G2" s="5"/>
      <c r="H2" s="5"/>
    </row>
    <row r="3" spans="1:8" ht="15.75" x14ac:dyDescent="0.25">
      <c r="A3" s="5"/>
      <c r="B3" s="5"/>
      <c r="C3" s="5"/>
      <c r="D3" s="5"/>
      <c r="E3" s="5"/>
      <c r="F3" s="5"/>
      <c r="G3" s="5"/>
      <c r="H3" s="5"/>
    </row>
    <row r="4" spans="1:8" ht="15.75" x14ac:dyDescent="0.25">
      <c r="A4" s="6" t="s">
        <v>9</v>
      </c>
      <c r="B4" s="5"/>
      <c r="C4" s="5"/>
      <c r="D4" s="5"/>
      <c r="E4" s="5"/>
      <c r="F4" s="5"/>
      <c r="G4" s="5"/>
      <c r="H4" s="5"/>
    </row>
    <row r="5" spans="1:8" ht="15.75" x14ac:dyDescent="0.25">
      <c r="A5" s="5"/>
      <c r="B5" s="5"/>
      <c r="C5" s="5"/>
      <c r="D5" s="5"/>
      <c r="E5" s="5"/>
      <c r="F5" s="5"/>
      <c r="G5" s="5"/>
      <c r="H5" s="5"/>
    </row>
    <row r="6" spans="1:8" ht="15.75" x14ac:dyDescent="0.25">
      <c r="A6" s="7" t="s">
        <v>2</v>
      </c>
      <c r="B6" s="8" t="s">
        <v>3</v>
      </c>
      <c r="C6" s="8" t="s">
        <v>4</v>
      </c>
      <c r="D6" s="8" t="s">
        <v>5</v>
      </c>
      <c r="E6" s="8" t="s">
        <v>6</v>
      </c>
      <c r="F6" s="8" t="s">
        <v>10</v>
      </c>
      <c r="G6" s="8" t="s">
        <v>7</v>
      </c>
      <c r="H6" s="8" t="s">
        <v>8</v>
      </c>
    </row>
    <row r="7" spans="1:8" x14ac:dyDescent="0.25">
      <c r="A7" s="1" t="s">
        <v>11</v>
      </c>
      <c r="B7" s="1">
        <v>1732</v>
      </c>
      <c r="C7" s="1">
        <v>2</v>
      </c>
      <c r="D7" s="1">
        <v>22</v>
      </c>
      <c r="E7" s="9" t="str">
        <f>xdate(B7,C7,D7,"mmmm d, yyyy")</f>
        <v>February 22, 1732</v>
      </c>
      <c r="F7" s="3">
        <f ca="1">xdatedif(TODAY(),E7)</f>
        <v>101501</v>
      </c>
      <c r="G7" s="2">
        <f ca="1">xdateyeardif(E7,TODAY())</f>
        <v>277</v>
      </c>
      <c r="H7" s="1" t="str">
        <f>CHOOSE(xdatedow(E7),"Sunday","Monday","Tuesday","Wednesday","Thursday","Friday","Saturday")</f>
        <v>Friday</v>
      </c>
    </row>
    <row r="8" spans="1:8" x14ac:dyDescent="0.25">
      <c r="A8" s="1" t="s">
        <v>12</v>
      </c>
      <c r="B8" s="1">
        <v>1735</v>
      </c>
      <c r="C8" s="1">
        <v>10</v>
      </c>
      <c r="D8" s="1">
        <v>30</v>
      </c>
      <c r="E8" s="9" t="str">
        <f t="shared" ref="E8:E48" si="0">xdate(B8,C8,D8,"mmmm d, yyyy")</f>
        <v>October 30, 1735</v>
      </c>
      <c r="F8" s="3">
        <f t="shared" ref="F8:F48" ca="1" si="1">xdatedif(TODAY(),E8)</f>
        <v>100155</v>
      </c>
      <c r="G8" s="2">
        <f t="shared" ref="G8:G48" ca="1" si="2">xdateyeardif(E8,TODAY())</f>
        <v>274</v>
      </c>
      <c r="H8" s="1" t="str">
        <f t="shared" ref="H8:H48" si="3">CHOOSE(xdatedow(E8),"Sunday","Monday","Tuesday","Wednesday","Thursday","Friday","Saturday")</f>
        <v>Sunday</v>
      </c>
    </row>
    <row r="9" spans="1:8" x14ac:dyDescent="0.25">
      <c r="A9" s="1" t="s">
        <v>13</v>
      </c>
      <c r="B9" s="1">
        <v>1743</v>
      </c>
      <c r="C9" s="1">
        <v>4</v>
      </c>
      <c r="D9" s="1">
        <v>13</v>
      </c>
      <c r="E9" s="9" t="str">
        <f t="shared" si="0"/>
        <v>April 13, 1743</v>
      </c>
      <c r="F9" s="3">
        <f t="shared" ca="1" si="1"/>
        <v>97433</v>
      </c>
      <c r="G9" s="2">
        <f t="shared" ca="1" si="2"/>
        <v>266</v>
      </c>
      <c r="H9" s="1" t="str">
        <f t="shared" si="3"/>
        <v>Saturday</v>
      </c>
    </row>
    <row r="10" spans="1:8" x14ac:dyDescent="0.25">
      <c r="A10" s="1" t="s">
        <v>14</v>
      </c>
      <c r="B10" s="1">
        <v>1751</v>
      </c>
      <c r="C10" s="1">
        <v>3</v>
      </c>
      <c r="D10" s="1">
        <v>16</v>
      </c>
      <c r="E10" s="9" t="str">
        <f t="shared" si="0"/>
        <v>March 16, 1751</v>
      </c>
      <c r="F10" s="3">
        <f t="shared" ca="1" si="1"/>
        <v>94539</v>
      </c>
      <c r="G10" s="2">
        <f t="shared" ca="1" si="2"/>
        <v>258</v>
      </c>
      <c r="H10" s="1" t="str">
        <f t="shared" si="3"/>
        <v>Tuesday</v>
      </c>
    </row>
    <row r="11" spans="1:8" x14ac:dyDescent="0.25">
      <c r="A11" s="1" t="s">
        <v>15</v>
      </c>
      <c r="B11" s="1">
        <v>1758</v>
      </c>
      <c r="C11" s="1">
        <v>4</v>
      </c>
      <c r="D11" s="1">
        <v>28</v>
      </c>
      <c r="E11" s="9" t="str">
        <f t="shared" si="0"/>
        <v>April 28, 1758</v>
      </c>
      <c r="F11" s="3">
        <f t="shared" ca="1" si="1"/>
        <v>91939</v>
      </c>
      <c r="G11" s="2">
        <f t="shared" ca="1" si="2"/>
        <v>251</v>
      </c>
      <c r="H11" s="1" t="str">
        <f t="shared" si="3"/>
        <v>Friday</v>
      </c>
    </row>
    <row r="12" spans="1:8" x14ac:dyDescent="0.25">
      <c r="A12" s="1" t="s">
        <v>16</v>
      </c>
      <c r="B12" s="1">
        <v>1767</v>
      </c>
      <c r="C12" s="1">
        <v>7</v>
      </c>
      <c r="D12" s="1">
        <v>11</v>
      </c>
      <c r="E12" s="9" t="str">
        <f t="shared" si="0"/>
        <v>July 11, 1767</v>
      </c>
      <c r="F12" s="3">
        <f t="shared" ca="1" si="1"/>
        <v>88578</v>
      </c>
      <c r="G12" s="2">
        <f t="shared" ca="1" si="2"/>
        <v>242</v>
      </c>
      <c r="H12" s="1" t="str">
        <f t="shared" si="3"/>
        <v>Saturday</v>
      </c>
    </row>
    <row r="13" spans="1:8" x14ac:dyDescent="0.25">
      <c r="A13" s="1" t="s">
        <v>17</v>
      </c>
      <c r="B13" s="1">
        <v>1767</v>
      </c>
      <c r="C13" s="1">
        <v>3</v>
      </c>
      <c r="D13" s="1">
        <v>15</v>
      </c>
      <c r="E13" s="9" t="str">
        <f t="shared" si="0"/>
        <v>March 15, 1767</v>
      </c>
      <c r="F13" s="3">
        <f t="shared" ca="1" si="1"/>
        <v>88696</v>
      </c>
      <c r="G13" s="2">
        <f t="shared" ca="1" si="2"/>
        <v>242</v>
      </c>
      <c r="H13" s="1" t="str">
        <f t="shared" si="3"/>
        <v>Sunday</v>
      </c>
    </row>
    <row r="14" spans="1:8" x14ac:dyDescent="0.25">
      <c r="A14" s="1" t="s">
        <v>18</v>
      </c>
      <c r="B14" s="1">
        <v>1782</v>
      </c>
      <c r="C14" s="1">
        <v>12</v>
      </c>
      <c r="D14" s="1">
        <v>5</v>
      </c>
      <c r="E14" s="9" t="str">
        <f t="shared" si="0"/>
        <v>December 5, 1782</v>
      </c>
      <c r="F14" s="3">
        <f t="shared" ca="1" si="1"/>
        <v>82952</v>
      </c>
      <c r="G14" s="2">
        <f t="shared" ca="1" si="2"/>
        <v>227</v>
      </c>
      <c r="H14" s="1" t="str">
        <f t="shared" si="3"/>
        <v>Thursday</v>
      </c>
    </row>
    <row r="15" spans="1:8" x14ac:dyDescent="0.25">
      <c r="A15" s="1" t="s">
        <v>19</v>
      </c>
      <c r="B15" s="1">
        <v>1773</v>
      </c>
      <c r="C15" s="1">
        <v>2</v>
      </c>
      <c r="D15" s="1">
        <v>9</v>
      </c>
      <c r="E15" s="9" t="str">
        <f t="shared" si="0"/>
        <v>February 9, 1773</v>
      </c>
      <c r="F15" s="3">
        <f t="shared" ca="1" si="1"/>
        <v>86538</v>
      </c>
      <c r="G15" s="2">
        <f t="shared" ca="1" si="2"/>
        <v>236</v>
      </c>
      <c r="H15" s="1" t="str">
        <f t="shared" si="3"/>
        <v>Tuesday</v>
      </c>
    </row>
    <row r="16" spans="1:8" x14ac:dyDescent="0.25">
      <c r="A16" s="1" t="s">
        <v>20</v>
      </c>
      <c r="B16" s="1">
        <v>1790</v>
      </c>
      <c r="C16" s="1">
        <v>3</v>
      </c>
      <c r="D16" s="1">
        <v>29</v>
      </c>
      <c r="E16" s="9" t="str">
        <f t="shared" si="0"/>
        <v>March 29, 1790</v>
      </c>
      <c r="F16" s="3">
        <f t="shared" ca="1" si="1"/>
        <v>80281</v>
      </c>
      <c r="G16" s="2">
        <f t="shared" ca="1" si="2"/>
        <v>219</v>
      </c>
      <c r="H16" s="1" t="str">
        <f t="shared" si="3"/>
        <v>Monday</v>
      </c>
    </row>
    <row r="17" spans="1:8" x14ac:dyDescent="0.25">
      <c r="A17" s="1" t="s">
        <v>21</v>
      </c>
      <c r="B17" s="1">
        <v>1795</v>
      </c>
      <c r="C17" s="1">
        <v>11</v>
      </c>
      <c r="D17" s="1">
        <v>2</v>
      </c>
      <c r="E17" s="9" t="str">
        <f t="shared" si="0"/>
        <v>November 2, 1795</v>
      </c>
      <c r="F17" s="3">
        <f t="shared" ca="1" si="1"/>
        <v>78237</v>
      </c>
      <c r="G17" s="2">
        <f t="shared" ca="1" si="2"/>
        <v>214</v>
      </c>
      <c r="H17" s="1" t="str">
        <f t="shared" si="3"/>
        <v>Monday</v>
      </c>
    </row>
    <row r="18" spans="1:8" x14ac:dyDescent="0.25">
      <c r="A18" s="1" t="s">
        <v>22</v>
      </c>
      <c r="B18" s="1">
        <v>1784</v>
      </c>
      <c r="C18" s="1">
        <v>11</v>
      </c>
      <c r="D18" s="1">
        <v>24</v>
      </c>
      <c r="E18" s="9" t="str">
        <f t="shared" si="0"/>
        <v>November 24, 1784</v>
      </c>
      <c r="F18" s="3">
        <f t="shared" ca="1" si="1"/>
        <v>82232</v>
      </c>
      <c r="G18" s="2">
        <f t="shared" ca="1" si="2"/>
        <v>225</v>
      </c>
      <c r="H18" s="1" t="str">
        <f t="shared" si="3"/>
        <v>Wednesday</v>
      </c>
    </row>
    <row r="19" spans="1:8" x14ac:dyDescent="0.25">
      <c r="A19" s="1" t="s">
        <v>23</v>
      </c>
      <c r="B19" s="1">
        <v>1800</v>
      </c>
      <c r="C19" s="1">
        <v>1</v>
      </c>
      <c r="D19" s="1">
        <v>7</v>
      </c>
      <c r="E19" s="9" t="str">
        <f t="shared" si="0"/>
        <v>January 7, 1800</v>
      </c>
      <c r="F19" s="3">
        <f t="shared" ca="1" si="1"/>
        <v>76710</v>
      </c>
      <c r="G19" s="2">
        <f t="shared" ca="1" si="2"/>
        <v>210</v>
      </c>
      <c r="H19" s="1" t="str">
        <f t="shared" si="3"/>
        <v>Tuesday</v>
      </c>
    </row>
    <row r="20" spans="1:8" x14ac:dyDescent="0.25">
      <c r="A20" s="1" t="s">
        <v>24</v>
      </c>
      <c r="B20" s="1">
        <v>1804</v>
      </c>
      <c r="C20" s="1">
        <v>11</v>
      </c>
      <c r="D20" s="1">
        <v>23</v>
      </c>
      <c r="E20" s="9" t="str">
        <f t="shared" si="0"/>
        <v>November 23, 1804</v>
      </c>
      <c r="F20" s="3">
        <f t="shared" ca="1" si="1"/>
        <v>74929</v>
      </c>
      <c r="G20" s="2">
        <f t="shared" ca="1" si="2"/>
        <v>205</v>
      </c>
      <c r="H20" s="1" t="str">
        <f t="shared" si="3"/>
        <v>Friday</v>
      </c>
    </row>
    <row r="21" spans="1:8" x14ac:dyDescent="0.25">
      <c r="A21" s="1" t="s">
        <v>25</v>
      </c>
      <c r="B21" s="1">
        <v>1791</v>
      </c>
      <c r="C21" s="1">
        <v>4</v>
      </c>
      <c r="D21" s="1">
        <v>23</v>
      </c>
      <c r="E21" s="9" t="str">
        <f t="shared" si="0"/>
        <v>April 23, 1791</v>
      </c>
      <c r="F21" s="3">
        <f t="shared" ca="1" si="1"/>
        <v>79891</v>
      </c>
      <c r="G21" s="2">
        <f t="shared" ca="1" si="2"/>
        <v>218</v>
      </c>
      <c r="H21" s="1" t="str">
        <f t="shared" si="3"/>
        <v>Saturday</v>
      </c>
    </row>
    <row r="22" spans="1:8" x14ac:dyDescent="0.25">
      <c r="A22" s="1" t="s">
        <v>26</v>
      </c>
      <c r="B22" s="1">
        <v>1809</v>
      </c>
      <c r="C22" s="1">
        <v>2</v>
      </c>
      <c r="D22" s="1">
        <v>12</v>
      </c>
      <c r="E22" s="9" t="str">
        <f t="shared" si="0"/>
        <v>February 12, 1809</v>
      </c>
      <c r="F22" s="3">
        <f t="shared" ca="1" si="1"/>
        <v>73387</v>
      </c>
      <c r="G22" s="2">
        <f t="shared" ca="1" si="2"/>
        <v>200</v>
      </c>
      <c r="H22" s="1" t="str">
        <f t="shared" si="3"/>
        <v>Sunday</v>
      </c>
    </row>
    <row r="23" spans="1:8" x14ac:dyDescent="0.25">
      <c r="A23" s="1" t="s">
        <v>27</v>
      </c>
      <c r="B23" s="1">
        <v>1808</v>
      </c>
      <c r="C23" s="1">
        <v>12</v>
      </c>
      <c r="D23" s="1">
        <v>29</v>
      </c>
      <c r="E23" s="9" t="str">
        <f t="shared" si="0"/>
        <v>December 29, 1808</v>
      </c>
      <c r="F23" s="3">
        <f t="shared" ca="1" si="1"/>
        <v>73432</v>
      </c>
      <c r="G23" s="2">
        <f t="shared" ca="1" si="2"/>
        <v>201</v>
      </c>
      <c r="H23" s="1" t="str">
        <f t="shared" si="3"/>
        <v>Thursday</v>
      </c>
    </row>
    <row r="24" spans="1:8" x14ac:dyDescent="0.25">
      <c r="A24" s="1" t="s">
        <v>28</v>
      </c>
      <c r="B24" s="1">
        <v>1822</v>
      </c>
      <c r="C24" s="1">
        <v>4</v>
      </c>
      <c r="D24" s="1">
        <v>27</v>
      </c>
      <c r="E24" s="9" t="str">
        <f t="shared" si="0"/>
        <v>April 27, 1822</v>
      </c>
      <c r="F24" s="3">
        <f t="shared" ca="1" si="1"/>
        <v>68565</v>
      </c>
      <c r="G24" s="2">
        <f t="shared" ca="1" si="2"/>
        <v>187</v>
      </c>
      <c r="H24" s="1" t="str">
        <f t="shared" si="3"/>
        <v>Saturday</v>
      </c>
    </row>
    <row r="25" spans="1:8" x14ac:dyDescent="0.25">
      <c r="A25" s="1" t="s">
        <v>29</v>
      </c>
      <c r="B25" s="1">
        <v>1822</v>
      </c>
      <c r="C25" s="1">
        <v>10</v>
      </c>
      <c r="D25" s="1">
        <v>4</v>
      </c>
      <c r="E25" s="9" t="str">
        <f t="shared" si="0"/>
        <v>October 4, 1822</v>
      </c>
      <c r="F25" s="3">
        <f t="shared" ca="1" si="1"/>
        <v>68405</v>
      </c>
      <c r="G25" s="2">
        <f t="shared" ca="1" si="2"/>
        <v>187</v>
      </c>
      <c r="H25" s="1" t="str">
        <f t="shared" si="3"/>
        <v>Friday</v>
      </c>
    </row>
    <row r="26" spans="1:8" x14ac:dyDescent="0.25">
      <c r="A26" s="1" t="s">
        <v>30</v>
      </c>
      <c r="B26" s="1">
        <v>1831</v>
      </c>
      <c r="C26" s="1">
        <v>11</v>
      </c>
      <c r="D26" s="1">
        <v>19</v>
      </c>
      <c r="E26" s="9" t="str">
        <f t="shared" si="0"/>
        <v>November 19, 1831</v>
      </c>
      <c r="F26" s="3">
        <f t="shared" ca="1" si="1"/>
        <v>65072</v>
      </c>
      <c r="G26" s="2">
        <f t="shared" ca="1" si="2"/>
        <v>178</v>
      </c>
      <c r="H26" s="1" t="str">
        <f t="shared" si="3"/>
        <v>Saturday</v>
      </c>
    </row>
    <row r="27" spans="1:8" x14ac:dyDescent="0.25">
      <c r="A27" s="1" t="s">
        <v>31</v>
      </c>
      <c r="B27" s="1">
        <v>1829</v>
      </c>
      <c r="C27" s="1">
        <v>10</v>
      </c>
      <c r="D27" s="1">
        <v>5</v>
      </c>
      <c r="E27" s="9" t="str">
        <f t="shared" si="0"/>
        <v>October 5, 1829</v>
      </c>
      <c r="F27" s="3">
        <f t="shared" ca="1" si="1"/>
        <v>65847</v>
      </c>
      <c r="G27" s="2">
        <f t="shared" ca="1" si="2"/>
        <v>180</v>
      </c>
      <c r="H27" s="1" t="str">
        <f t="shared" si="3"/>
        <v>Monday</v>
      </c>
    </row>
    <row r="28" spans="1:8" x14ac:dyDescent="0.25">
      <c r="A28" s="1" t="s">
        <v>32</v>
      </c>
      <c r="B28" s="1">
        <v>1837</v>
      </c>
      <c r="C28" s="1">
        <v>3</v>
      </c>
      <c r="D28" s="1">
        <v>18</v>
      </c>
      <c r="E28" s="9" t="str">
        <f t="shared" si="0"/>
        <v>March 18, 1837</v>
      </c>
      <c r="F28" s="3">
        <f t="shared" ca="1" si="1"/>
        <v>63126</v>
      </c>
      <c r="G28" s="2">
        <f t="shared" ca="1" si="2"/>
        <v>172</v>
      </c>
      <c r="H28" s="1" t="str">
        <f t="shared" si="3"/>
        <v>Saturday</v>
      </c>
    </row>
    <row r="29" spans="1:8" x14ac:dyDescent="0.25">
      <c r="A29" s="1" t="s">
        <v>33</v>
      </c>
      <c r="B29" s="1">
        <v>1833</v>
      </c>
      <c r="C29" s="1">
        <v>8</v>
      </c>
      <c r="D29" s="1">
        <v>20</v>
      </c>
      <c r="E29" s="9" t="str">
        <f t="shared" si="0"/>
        <v>August 20, 1833</v>
      </c>
      <c r="F29" s="3">
        <f t="shared" ca="1" si="1"/>
        <v>64432</v>
      </c>
      <c r="G29" s="2">
        <f t="shared" ca="1" si="2"/>
        <v>176</v>
      </c>
      <c r="H29" s="1" t="str">
        <f t="shared" si="3"/>
        <v>Tuesday</v>
      </c>
    </row>
    <row r="30" spans="1:8" x14ac:dyDescent="0.25">
      <c r="A30" s="1" t="s">
        <v>34</v>
      </c>
      <c r="B30" s="1">
        <v>1843</v>
      </c>
      <c r="C30" s="1">
        <v>1</v>
      </c>
      <c r="D30" s="1">
        <v>29</v>
      </c>
      <c r="E30" s="9" t="str">
        <f t="shared" si="0"/>
        <v>January 29, 1843</v>
      </c>
      <c r="F30" s="3">
        <f t="shared" ca="1" si="1"/>
        <v>60983</v>
      </c>
      <c r="G30" s="2">
        <f t="shared" ca="1" si="2"/>
        <v>166</v>
      </c>
      <c r="H30" s="1" t="str">
        <f t="shared" si="3"/>
        <v>Sunday</v>
      </c>
    </row>
    <row r="31" spans="1:8" x14ac:dyDescent="0.25">
      <c r="A31" s="1" t="s">
        <v>35</v>
      </c>
      <c r="B31" s="1">
        <v>1858</v>
      </c>
      <c r="C31" s="1">
        <v>10</v>
      </c>
      <c r="D31" s="1">
        <v>27</v>
      </c>
      <c r="E31" s="9" t="str">
        <f t="shared" si="0"/>
        <v>October 27, 1858</v>
      </c>
      <c r="F31" s="3">
        <f t="shared" ca="1" si="1"/>
        <v>55233</v>
      </c>
      <c r="G31" s="2">
        <f t="shared" ca="1" si="2"/>
        <v>151</v>
      </c>
      <c r="H31" s="1" t="str">
        <f t="shared" si="3"/>
        <v>Wednesday</v>
      </c>
    </row>
    <row r="32" spans="1:8" x14ac:dyDescent="0.25">
      <c r="A32" s="1" t="s">
        <v>36</v>
      </c>
      <c r="B32" s="1">
        <v>1857</v>
      </c>
      <c r="C32" s="1">
        <v>9</v>
      </c>
      <c r="D32" s="1">
        <v>15</v>
      </c>
      <c r="E32" s="9" t="str">
        <f t="shared" si="0"/>
        <v>September 15, 1857</v>
      </c>
      <c r="F32" s="3">
        <f t="shared" ca="1" si="1"/>
        <v>55640</v>
      </c>
      <c r="G32" s="2">
        <f t="shared" ca="1" si="2"/>
        <v>152</v>
      </c>
      <c r="H32" s="1" t="str">
        <f t="shared" si="3"/>
        <v>Tuesday</v>
      </c>
    </row>
    <row r="33" spans="1:8" x14ac:dyDescent="0.25">
      <c r="A33" s="1" t="s">
        <v>37</v>
      </c>
      <c r="B33" s="1">
        <v>1856</v>
      </c>
      <c r="C33" s="1">
        <v>12</v>
      </c>
      <c r="D33" s="1">
        <v>28</v>
      </c>
      <c r="E33" s="9" t="str">
        <f t="shared" si="0"/>
        <v>December 28, 1856</v>
      </c>
      <c r="F33" s="3">
        <f t="shared" ca="1" si="1"/>
        <v>55901</v>
      </c>
      <c r="G33" s="2">
        <f t="shared" ca="1" si="2"/>
        <v>153</v>
      </c>
      <c r="H33" s="1" t="str">
        <f t="shared" si="3"/>
        <v>Sunday</v>
      </c>
    </row>
    <row r="34" spans="1:8" x14ac:dyDescent="0.25">
      <c r="A34" s="1" t="s">
        <v>38</v>
      </c>
      <c r="B34" s="1">
        <v>1865</v>
      </c>
      <c r="C34" s="1">
        <v>11</v>
      </c>
      <c r="D34" s="1">
        <v>2</v>
      </c>
      <c r="E34" s="9" t="str">
        <f t="shared" si="0"/>
        <v>November 2, 1865</v>
      </c>
      <c r="F34" s="3">
        <f t="shared" ca="1" si="1"/>
        <v>52670</v>
      </c>
      <c r="G34" s="2">
        <f t="shared" ca="1" si="2"/>
        <v>144</v>
      </c>
      <c r="H34" s="1" t="str">
        <f t="shared" si="3"/>
        <v>Thursday</v>
      </c>
    </row>
    <row r="35" spans="1:8" x14ac:dyDescent="0.25">
      <c r="A35" s="1" t="s">
        <v>39</v>
      </c>
      <c r="B35" s="1">
        <v>1872</v>
      </c>
      <c r="C35" s="1">
        <v>7</v>
      </c>
      <c r="D35" s="1">
        <v>4</v>
      </c>
      <c r="E35" s="9" t="str">
        <f t="shared" si="0"/>
        <v>July 4, 1872</v>
      </c>
      <c r="F35" s="3">
        <f t="shared" ca="1" si="1"/>
        <v>50234</v>
      </c>
      <c r="G35" s="2">
        <f t="shared" ca="1" si="2"/>
        <v>137</v>
      </c>
      <c r="H35" s="1" t="str">
        <f t="shared" si="3"/>
        <v>Thursday</v>
      </c>
    </row>
    <row r="36" spans="1:8" x14ac:dyDescent="0.25">
      <c r="A36" s="1" t="s">
        <v>40</v>
      </c>
      <c r="B36" s="1">
        <v>1874</v>
      </c>
      <c r="C36" s="1">
        <v>8</v>
      </c>
      <c r="D36" s="1">
        <v>10</v>
      </c>
      <c r="E36" s="9" t="str">
        <f t="shared" si="0"/>
        <v>August 10, 1874</v>
      </c>
      <c r="F36" s="3">
        <f t="shared" ca="1" si="1"/>
        <v>49467</v>
      </c>
      <c r="G36" s="2">
        <f t="shared" ca="1" si="2"/>
        <v>135</v>
      </c>
      <c r="H36" s="1" t="str">
        <f t="shared" si="3"/>
        <v>Monday</v>
      </c>
    </row>
    <row r="37" spans="1:8" x14ac:dyDescent="0.25">
      <c r="A37" s="1" t="s">
        <v>41</v>
      </c>
      <c r="B37" s="1">
        <v>1882</v>
      </c>
      <c r="C37" s="1">
        <v>1</v>
      </c>
      <c r="D37" s="1">
        <v>30</v>
      </c>
      <c r="E37" s="9" t="str">
        <f t="shared" si="0"/>
        <v>January 30, 1882</v>
      </c>
      <c r="F37" s="3">
        <f t="shared" ca="1" si="1"/>
        <v>46737</v>
      </c>
      <c r="G37" s="2">
        <f t="shared" ca="1" si="2"/>
        <v>127</v>
      </c>
      <c r="H37" s="1" t="str">
        <f t="shared" si="3"/>
        <v>Monday</v>
      </c>
    </row>
    <row r="38" spans="1:8" x14ac:dyDescent="0.25">
      <c r="A38" s="1" t="s">
        <v>42</v>
      </c>
      <c r="B38" s="1">
        <v>1884</v>
      </c>
      <c r="C38" s="1">
        <v>5</v>
      </c>
      <c r="D38" s="1">
        <v>8</v>
      </c>
      <c r="E38" s="9" t="str">
        <f t="shared" si="0"/>
        <v>May 8, 1884</v>
      </c>
      <c r="F38" s="3">
        <f t="shared" ca="1" si="1"/>
        <v>45908</v>
      </c>
      <c r="G38" s="2">
        <f t="shared" ca="1" si="2"/>
        <v>125</v>
      </c>
      <c r="H38" s="1" t="str">
        <f t="shared" si="3"/>
        <v>Thursday</v>
      </c>
    </row>
    <row r="39" spans="1:8" x14ac:dyDescent="0.25">
      <c r="A39" s="1" t="s">
        <v>43</v>
      </c>
      <c r="B39" s="1">
        <v>1890</v>
      </c>
      <c r="C39" s="1">
        <v>10</v>
      </c>
      <c r="D39" s="1">
        <v>14</v>
      </c>
      <c r="E39" s="9" t="str">
        <f t="shared" si="0"/>
        <v>October 14, 1890</v>
      </c>
      <c r="F39" s="3">
        <f t="shared" ca="1" si="1"/>
        <v>43558</v>
      </c>
      <c r="G39" s="2">
        <f t="shared" ca="1" si="2"/>
        <v>119</v>
      </c>
      <c r="H39" s="1" t="str">
        <f t="shared" si="3"/>
        <v>Tuesday</v>
      </c>
    </row>
    <row r="40" spans="1:8" x14ac:dyDescent="0.25">
      <c r="A40" s="1" t="s">
        <v>44</v>
      </c>
      <c r="B40" s="1">
        <v>1917</v>
      </c>
      <c r="C40" s="1">
        <v>5</v>
      </c>
      <c r="D40" s="1">
        <v>29</v>
      </c>
      <c r="E40" s="9" t="str">
        <f t="shared" si="0"/>
        <v>May 29, 1917</v>
      </c>
      <c r="F40" s="3">
        <f t="shared" ca="1" si="1"/>
        <v>33835</v>
      </c>
      <c r="G40" s="2">
        <f t="shared" ca="1" si="2"/>
        <v>92</v>
      </c>
      <c r="H40" s="1" t="str">
        <f t="shared" si="3"/>
        <v>Tuesday</v>
      </c>
    </row>
    <row r="41" spans="1:8" x14ac:dyDescent="0.25">
      <c r="A41" s="1" t="s">
        <v>45</v>
      </c>
      <c r="B41" s="1">
        <v>1908</v>
      </c>
      <c r="C41" s="1">
        <v>8</v>
      </c>
      <c r="D41" s="1">
        <v>27</v>
      </c>
      <c r="E41" s="9" t="str">
        <f t="shared" si="0"/>
        <v>August 27, 1908</v>
      </c>
      <c r="F41" s="3">
        <f t="shared" ca="1" si="1"/>
        <v>37032</v>
      </c>
      <c r="G41" s="2">
        <f t="shared" ca="1" si="2"/>
        <v>101</v>
      </c>
      <c r="H41" s="1" t="str">
        <f t="shared" si="3"/>
        <v>Thursday</v>
      </c>
    </row>
    <row r="42" spans="1:8" x14ac:dyDescent="0.25">
      <c r="A42" s="1" t="s">
        <v>46</v>
      </c>
      <c r="B42" s="1">
        <v>1913</v>
      </c>
      <c r="C42" s="1">
        <v>1</v>
      </c>
      <c r="D42" s="1">
        <v>9</v>
      </c>
      <c r="E42" s="9" t="str">
        <f t="shared" si="0"/>
        <v>January 9, 1913</v>
      </c>
      <c r="F42" s="3">
        <f t="shared" ca="1" si="1"/>
        <v>35436</v>
      </c>
      <c r="G42" s="2">
        <f t="shared" ca="1" si="2"/>
        <v>97</v>
      </c>
      <c r="H42" s="1" t="str">
        <f t="shared" si="3"/>
        <v>Thursday</v>
      </c>
    </row>
    <row r="43" spans="1:8" x14ac:dyDescent="0.25">
      <c r="A43" s="1" t="s">
        <v>47</v>
      </c>
      <c r="B43" s="1">
        <v>1913</v>
      </c>
      <c r="C43" s="1">
        <v>7</v>
      </c>
      <c r="D43" s="1">
        <v>14</v>
      </c>
      <c r="E43" s="9" t="str">
        <f t="shared" si="0"/>
        <v>July 14, 1913</v>
      </c>
      <c r="F43" s="3">
        <f t="shared" ca="1" si="1"/>
        <v>35250</v>
      </c>
      <c r="G43" s="2">
        <f t="shared" ca="1" si="2"/>
        <v>96</v>
      </c>
      <c r="H43" s="1" t="str">
        <f t="shared" si="3"/>
        <v>Monday</v>
      </c>
    </row>
    <row r="44" spans="1:8" x14ac:dyDescent="0.25">
      <c r="A44" s="1" t="s">
        <v>48</v>
      </c>
      <c r="B44" s="1">
        <v>1924</v>
      </c>
      <c r="C44" s="1">
        <v>10</v>
      </c>
      <c r="D44" s="1">
        <v>1</v>
      </c>
      <c r="E44" s="9" t="str">
        <f t="shared" si="0"/>
        <v>October 1, 1924</v>
      </c>
      <c r="F44" s="3">
        <f t="shared" ca="1" si="1"/>
        <v>31153</v>
      </c>
      <c r="G44" s="2">
        <f t="shared" ca="1" si="2"/>
        <v>85</v>
      </c>
      <c r="H44" s="1" t="str">
        <f t="shared" si="3"/>
        <v>Wednesday</v>
      </c>
    </row>
    <row r="45" spans="1:8" x14ac:dyDescent="0.25">
      <c r="A45" s="1" t="s">
        <v>49</v>
      </c>
      <c r="B45" s="1">
        <v>1911</v>
      </c>
      <c r="C45" s="1">
        <v>2</v>
      </c>
      <c r="D45" s="1">
        <v>6</v>
      </c>
      <c r="E45" s="9" t="str">
        <f t="shared" si="0"/>
        <v>February 6, 1911</v>
      </c>
      <c r="F45" s="3">
        <f t="shared" ca="1" si="1"/>
        <v>36139</v>
      </c>
      <c r="G45" s="2">
        <f t="shared" ca="1" si="2"/>
        <v>98</v>
      </c>
      <c r="H45" s="1" t="str">
        <f t="shared" si="3"/>
        <v>Monday</v>
      </c>
    </row>
    <row r="46" spans="1:8" x14ac:dyDescent="0.25">
      <c r="A46" s="1" t="s">
        <v>50</v>
      </c>
      <c r="B46" s="1">
        <v>1924</v>
      </c>
      <c r="C46" s="1">
        <v>6</v>
      </c>
      <c r="D46" s="1">
        <v>12</v>
      </c>
      <c r="E46" s="9" t="str">
        <f t="shared" si="0"/>
        <v>June 12, 1924</v>
      </c>
      <c r="F46" s="3">
        <f t="shared" ca="1" si="1"/>
        <v>31264</v>
      </c>
      <c r="G46" s="2">
        <f t="shared" ca="1" si="2"/>
        <v>85</v>
      </c>
      <c r="H46" s="1" t="str">
        <f t="shared" si="3"/>
        <v>Thursday</v>
      </c>
    </row>
    <row r="47" spans="1:8" x14ac:dyDescent="0.25">
      <c r="A47" s="1" t="s">
        <v>51</v>
      </c>
      <c r="B47" s="1">
        <v>1946</v>
      </c>
      <c r="C47" s="1">
        <v>8</v>
      </c>
      <c r="D47" s="1">
        <v>19</v>
      </c>
      <c r="E47" s="9" t="str">
        <f t="shared" si="0"/>
        <v>August 19, 1946</v>
      </c>
      <c r="F47" s="3">
        <f t="shared" ca="1" si="1"/>
        <v>23161</v>
      </c>
      <c r="G47" s="2">
        <f t="shared" ca="1" si="2"/>
        <v>63</v>
      </c>
      <c r="H47" s="1" t="str">
        <f t="shared" si="3"/>
        <v>Monday</v>
      </c>
    </row>
    <row r="48" spans="1:8" x14ac:dyDescent="0.25">
      <c r="A48" s="1" t="s">
        <v>52</v>
      </c>
      <c r="B48" s="1">
        <v>1946</v>
      </c>
      <c r="C48" s="1">
        <v>7</v>
      </c>
      <c r="D48" s="1">
        <v>6</v>
      </c>
      <c r="E48" s="9" t="str">
        <f t="shared" si="0"/>
        <v>July 6, 1946</v>
      </c>
      <c r="F48" s="3">
        <f t="shared" ca="1" si="1"/>
        <v>23205</v>
      </c>
      <c r="G48" s="2">
        <f t="shared" ca="1" si="2"/>
        <v>63</v>
      </c>
      <c r="H48" s="1" t="str">
        <f t="shared" si="3"/>
        <v>Saturday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9"/>
  <sheetViews>
    <sheetView workbookViewId="0"/>
  </sheetViews>
  <sheetFormatPr defaultRowHeight="15" x14ac:dyDescent="0.25"/>
  <cols>
    <col min="1" max="1" width="13.140625" customWidth="1"/>
    <col min="2" max="2" width="62" customWidth="1"/>
  </cols>
  <sheetData>
    <row r="3" spans="1:2" x14ac:dyDescent="0.25">
      <c r="A3" s="10" t="s">
        <v>53</v>
      </c>
      <c r="B3" t="s">
        <v>63</v>
      </c>
    </row>
    <row r="4" spans="1:2" x14ac:dyDescent="0.25">
      <c r="A4" s="11" t="s">
        <v>56</v>
      </c>
      <c r="B4" s="13">
        <v>0.11904761904761904</v>
      </c>
    </row>
    <row r="5" spans="1:2" x14ac:dyDescent="0.25">
      <c r="A5" s="11" t="s">
        <v>57</v>
      </c>
      <c r="B5" s="13">
        <v>0.19047619047619047</v>
      </c>
    </row>
    <row r="6" spans="1:2" x14ac:dyDescent="0.25">
      <c r="A6" s="11" t="s">
        <v>58</v>
      </c>
      <c r="B6" s="13">
        <v>0.16666666666666666</v>
      </c>
    </row>
    <row r="7" spans="1:2" x14ac:dyDescent="0.25">
      <c r="A7" s="11" t="s">
        <v>59</v>
      </c>
      <c r="B7" s="13">
        <v>7.1428571428571425E-2</v>
      </c>
    </row>
    <row r="8" spans="1:2" x14ac:dyDescent="0.25">
      <c r="A8" s="11" t="s">
        <v>60</v>
      </c>
      <c r="B8" s="13">
        <v>0.19047619047619047</v>
      </c>
    </row>
    <row r="9" spans="1:2" x14ac:dyDescent="0.25">
      <c r="A9" s="11" t="s">
        <v>61</v>
      </c>
      <c r="B9" s="13">
        <v>9.5238095238095233E-2</v>
      </c>
    </row>
    <row r="10" spans="1:2" x14ac:dyDescent="0.25">
      <c r="A10" s="11" t="s">
        <v>62</v>
      </c>
      <c r="B10" s="13">
        <v>0.16666666666666666</v>
      </c>
    </row>
    <row r="11" spans="1:2" x14ac:dyDescent="0.25">
      <c r="A11" s="11" t="s">
        <v>54</v>
      </c>
      <c r="B11" s="12">
        <v>1</v>
      </c>
    </row>
    <row r="16" spans="1:2" x14ac:dyDescent="0.25">
      <c r="A16" s="10" t="s">
        <v>53</v>
      </c>
      <c r="B16" t="s">
        <v>55</v>
      </c>
    </row>
    <row r="17" spans="1:2" x14ac:dyDescent="0.25">
      <c r="A17" s="11">
        <v>1</v>
      </c>
      <c r="B17" s="12">
        <v>9.5238095238095233E-2</v>
      </c>
    </row>
    <row r="18" spans="1:2" x14ac:dyDescent="0.25">
      <c r="A18" s="11">
        <v>2</v>
      </c>
      <c r="B18" s="12">
        <v>9.5238095238095233E-2</v>
      </c>
    </row>
    <row r="19" spans="1:2" x14ac:dyDescent="0.25">
      <c r="A19" s="11">
        <v>3</v>
      </c>
      <c r="B19" s="12">
        <v>9.5238095238095233E-2</v>
      </c>
    </row>
    <row r="20" spans="1:2" x14ac:dyDescent="0.25">
      <c r="A20" s="11">
        <v>4</v>
      </c>
      <c r="B20" s="12">
        <v>9.5238095238095233E-2</v>
      </c>
    </row>
    <row r="21" spans="1:2" x14ac:dyDescent="0.25">
      <c r="A21" s="11">
        <v>5</v>
      </c>
      <c r="B21" s="12">
        <v>4.7619047619047616E-2</v>
      </c>
    </row>
    <row r="22" spans="1:2" x14ac:dyDescent="0.25">
      <c r="A22" s="11">
        <v>6</v>
      </c>
      <c r="B22" s="12">
        <v>2.3809523809523808E-2</v>
      </c>
    </row>
    <row r="23" spans="1:2" x14ac:dyDescent="0.25">
      <c r="A23" s="11">
        <v>7</v>
      </c>
      <c r="B23" s="12">
        <v>9.5238095238095233E-2</v>
      </c>
    </row>
    <row r="24" spans="1:2" x14ac:dyDescent="0.25">
      <c r="A24" s="11">
        <v>8</v>
      </c>
      <c r="B24" s="12">
        <v>9.5238095238095233E-2</v>
      </c>
    </row>
    <row r="25" spans="1:2" x14ac:dyDescent="0.25">
      <c r="A25" s="11">
        <v>9</v>
      </c>
      <c r="B25" s="12">
        <v>2.3809523809523808E-2</v>
      </c>
    </row>
    <row r="26" spans="1:2" x14ac:dyDescent="0.25">
      <c r="A26" s="11">
        <v>10</v>
      </c>
      <c r="B26" s="12">
        <v>0.14285714285714285</v>
      </c>
    </row>
    <row r="27" spans="1:2" x14ac:dyDescent="0.25">
      <c r="A27" s="11">
        <v>11</v>
      </c>
      <c r="B27" s="12">
        <v>0.11904761904761904</v>
      </c>
    </row>
    <row r="28" spans="1:2" x14ac:dyDescent="0.25">
      <c r="A28" s="11">
        <v>12</v>
      </c>
      <c r="B28" s="12">
        <v>7.1428571428571425E-2</v>
      </c>
    </row>
    <row r="29" spans="1:2" x14ac:dyDescent="0.25">
      <c r="A29" s="11" t="s">
        <v>54</v>
      </c>
      <c r="B29" s="12">
        <v>1</v>
      </c>
    </row>
  </sheetData>
  <conditionalFormatting pivot="1" sqref="B4:B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{99120014-8DB6-4843-8DC4-8505189CDD41}</x14:id>
        </ext>
      </extLst>
    </cfRule>
  </conditionalFormatting>
  <conditionalFormatting pivot="1" sqref="B17:B2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{356F9121-8BD0-4070-941E-0B9A52B13E9C}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9120014-8DB6-4843-8DC4-8505189CDD41}">
            <x14:dataBar gradient="0" negativeBarColorSameAsPositive="1" axisPosition="none">
              <x14:cfvo type="min"/>
              <x14:cfvo type="max"/>
            </x14:dataBar>
          </x14:cfRule>
          <xm:sqref>B4:B10</xm:sqref>
        </x14:conditionalFormatting>
        <x14:conditionalFormatting xmlns:xm="http://schemas.microsoft.com/office/excel/2006/main" pivot="1">
          <x14:cfRule type="dataBar" id="{356F9121-8BD0-4070-941E-0B9A52B13E9C}">
            <x14:dataBar gradient="0" negativeBarColorSameAsPositive="1" axisPosition="none">
              <x14:cfvo type="min"/>
              <x14:cfvo type="max"/>
            </x14:dataBar>
          </x14:cfRule>
          <xm:sqref>B17:B28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2007-01-08T22:04:05Z</outs:dateTime>
      <outs:isPinned>true</outs:isPinned>
    </outs:relatedDate>
    <outs:relatedDate>
      <outs:type>2</outs:type>
      <outs:displayName>Created</outs:displayName>
      <outs:dateTime>1999-04-21T18:43:44Z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BAEFDFE-8463-4627-9A8E-500FE4F15D5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extended date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1999-04-21T18:43:44Z</dcterms:created>
  <dcterms:modified xsi:type="dcterms:W3CDTF">2010-01-16T14:19:00Z</dcterms:modified>
  <cp:category>Excel 2010 Power Programming With VBA</cp:category>
</cp:coreProperties>
</file>