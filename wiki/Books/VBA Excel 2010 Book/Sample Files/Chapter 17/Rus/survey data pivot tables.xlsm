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xWindow="-12" yWindow="-12" windowWidth="15456" windowHeight="12036"/>
  </bookViews>
  <sheets>
    <sheet name="Итог" sheetId="7" r:id="rId1"/>
    <sheet name="ДанныеОпроса" sheetId="1" r:id="rId2"/>
  </sheets>
  <calcPr calcId="144525"/>
  <pivotCaches>
    <pivotCache cacheId="3" r:id="rId3"/>
  </pivotCaches>
  <webPublishing codePage="1252"/>
</workbook>
</file>

<file path=xl/calcChain.xml><?xml version="1.0" encoding="utf-8"?>
<calcChain xmlns="http://schemas.openxmlformats.org/spreadsheetml/2006/main">
  <c r="P154" i="1" l="1"/>
  <c r="P153" i="1"/>
  <c r="O154" i="1"/>
  <c r="O153" i="1"/>
  <c r="N154" i="1"/>
  <c r="N153" i="1"/>
  <c r="M154" i="1"/>
  <c r="M153" i="1"/>
  <c r="L154" i="1"/>
  <c r="L153" i="1"/>
  <c r="K154" i="1"/>
  <c r="K153" i="1"/>
  <c r="J154" i="1"/>
  <c r="J153" i="1"/>
  <c r="I154" i="1"/>
  <c r="I153" i="1"/>
  <c r="H154" i="1"/>
  <c r="H153" i="1"/>
  <c r="G154" i="1"/>
  <c r="G153" i="1"/>
  <c r="F154" i="1"/>
  <c r="F153" i="1"/>
  <c r="E154" i="1"/>
  <c r="E153" i="1"/>
  <c r="D154" i="1"/>
  <c r="D153" i="1"/>
  <c r="C154" i="1"/>
  <c r="C153" i="1"/>
  <c r="C155" i="1" l="1"/>
  <c r="O155" i="1" l="1"/>
  <c r="K155" i="1"/>
  <c r="I155" i="1"/>
  <c r="G155" i="1"/>
  <c r="E155" i="1"/>
  <c r="P155" i="1"/>
  <c r="N155" i="1"/>
  <c r="L155" i="1"/>
  <c r="J155" i="1"/>
  <c r="H155" i="1"/>
  <c r="F155" i="1"/>
  <c r="D155" i="1"/>
  <c r="M155" i="1"/>
</calcChain>
</file>

<file path=xl/sharedStrings.xml><?xml version="1.0" encoding="utf-8"?>
<sst xmlns="http://schemas.openxmlformats.org/spreadsheetml/2006/main" count="641" uniqueCount="180">
  <si>
    <t>Имя</t>
  </si>
  <si>
    <t>Пол</t>
  </si>
  <si>
    <t>Удобство расположения склада</t>
  </si>
  <si>
    <t>Качество поддержки</t>
  </si>
  <si>
    <t>Быстрота дозвона</t>
  </si>
  <si>
    <t>Практичность веб-сайта</t>
  </si>
  <si>
    <t>Вежливость сотрудников</t>
  </si>
  <si>
    <t>Готовность прийти на помощь</t>
  </si>
  <si>
    <t>Эрудированность сотрудников</t>
  </si>
  <si>
    <t>Конкурентность цен</t>
  </si>
  <si>
    <t>Привлекательность ТВ-рекламы</t>
  </si>
  <si>
    <t>Хочу рекомендовать вашу компанию</t>
  </si>
  <si>
    <t>Вопрос1</t>
  </si>
  <si>
    <t>Вопрос2</t>
  </si>
  <si>
    <t>Вопрос3</t>
  </si>
  <si>
    <t>Вопрос4</t>
  </si>
  <si>
    <t>Вопрос5</t>
  </si>
  <si>
    <t>Вопрос6</t>
  </si>
  <si>
    <t>Вопрос7</t>
  </si>
  <si>
    <t>Вопрос8</t>
  </si>
  <si>
    <t>Вопрос9</t>
  </si>
  <si>
    <t>Вопрос10</t>
  </si>
  <si>
    <t>Вопрос11</t>
  </si>
  <si>
    <t>Вопрос12</t>
  </si>
  <si>
    <t>Вопрос13</t>
  </si>
  <si>
    <t>Вопрос14</t>
  </si>
  <si>
    <t>Вопрос15</t>
  </si>
  <si>
    <t>Вопрос16</t>
  </si>
  <si>
    <t>Вопрос17</t>
  </si>
  <si>
    <t>Вопрос18</t>
  </si>
  <si>
    <t>Вопрос19</t>
  </si>
  <si>
    <t>Вопрос20</t>
  </si>
  <si>
    <t>Вопрос21</t>
  </si>
  <si>
    <t>Вопрос22</t>
  </si>
  <si>
    <t>Вопрос23</t>
  </si>
  <si>
    <t>Вопрос24</t>
  </si>
  <si>
    <t>Вопрос25</t>
  </si>
  <si>
    <t>Вопрос26</t>
  </si>
  <si>
    <t>Вопрос27</t>
  </si>
  <si>
    <t>Вопрос28</t>
  </si>
  <si>
    <t>Вопрос29</t>
  </si>
  <si>
    <t>Вопрос30</t>
  </si>
  <si>
    <t>Вопрос31</t>
  </si>
  <si>
    <t>Вопрос32</t>
  </si>
  <si>
    <t>Вопрос33</t>
  </si>
  <si>
    <t>Вопрос34</t>
  </si>
  <si>
    <t>Вопрос35</t>
  </si>
  <si>
    <t>Вопрос36</t>
  </si>
  <si>
    <t>Вопрос37</t>
  </si>
  <si>
    <t>Вопрос38</t>
  </si>
  <si>
    <t>Вопрос39</t>
  </si>
  <si>
    <t>Вопрос40</t>
  </si>
  <si>
    <t>Вопрос41</t>
  </si>
  <si>
    <t>Вопрос42</t>
  </si>
  <si>
    <t>Вопрос43</t>
  </si>
  <si>
    <t>Вопрос44</t>
  </si>
  <si>
    <t>Вопрос45</t>
  </si>
  <si>
    <t>Вопрос46</t>
  </si>
  <si>
    <t>Вопрос47</t>
  </si>
  <si>
    <t>Вопрос48</t>
  </si>
  <si>
    <t>Вопрос49</t>
  </si>
  <si>
    <t>Вопрос50</t>
  </si>
  <si>
    <t>Вопрос51</t>
  </si>
  <si>
    <t>Вопрос52</t>
  </si>
  <si>
    <t>Вопрос53</t>
  </si>
  <si>
    <t>Вопрос54</t>
  </si>
  <si>
    <t>Вопрос55</t>
  </si>
  <si>
    <t>Вопрос56</t>
  </si>
  <si>
    <t>Вопрос57</t>
  </si>
  <si>
    <t>Вопрос58</t>
  </si>
  <si>
    <t>Вопрос59</t>
  </si>
  <si>
    <t>Вопрос60</t>
  </si>
  <si>
    <t>Вопрос61</t>
  </si>
  <si>
    <t>Вопрос62</t>
  </si>
  <si>
    <t>Вопрос63</t>
  </si>
  <si>
    <t>Вопрос64</t>
  </si>
  <si>
    <t>Вопрос65</t>
  </si>
  <si>
    <t>Вопрос66</t>
  </si>
  <si>
    <t>Вопрос67</t>
  </si>
  <si>
    <t>Вопрос68</t>
  </si>
  <si>
    <t>Вопрос69</t>
  </si>
  <si>
    <t>Вопрос70</t>
  </si>
  <si>
    <t>Вопрос71</t>
  </si>
  <si>
    <t>Вопрос72</t>
  </si>
  <si>
    <t>Вопрос73</t>
  </si>
  <si>
    <t>Вопрос74</t>
  </si>
  <si>
    <t>Вопрос75</t>
  </si>
  <si>
    <t>Вопрос76</t>
  </si>
  <si>
    <t>Вопрос77</t>
  </si>
  <si>
    <t>Вопрос78</t>
  </si>
  <si>
    <t>Вопрос79</t>
  </si>
  <si>
    <t>Вопрос80</t>
  </si>
  <si>
    <t>Вопрос81</t>
  </si>
  <si>
    <t>Вопрос82</t>
  </si>
  <si>
    <t>Вопрос83</t>
  </si>
  <si>
    <t>Вопрос84</t>
  </si>
  <si>
    <t>Вопрос85</t>
  </si>
  <si>
    <t>Вопрос86</t>
  </si>
  <si>
    <t>Вопрос87</t>
  </si>
  <si>
    <t>Вопрос88</t>
  </si>
  <si>
    <t>Вопрос89</t>
  </si>
  <si>
    <t>Вопрос90</t>
  </si>
  <si>
    <t>Вопрос91</t>
  </si>
  <si>
    <t>Вопрос92</t>
  </si>
  <si>
    <t>Вопрос93</t>
  </si>
  <si>
    <t>Вопрос94</t>
  </si>
  <si>
    <t>Вопрос95</t>
  </si>
  <si>
    <t>Вопрос96</t>
  </si>
  <si>
    <t>Вопрос97</t>
  </si>
  <si>
    <t>Вопрос98</t>
  </si>
  <si>
    <t>Вопрос99</t>
  </si>
  <si>
    <t>Вопрос100</t>
  </si>
  <si>
    <t>Вопрос101</t>
  </si>
  <si>
    <t>Вопрос102</t>
  </si>
  <si>
    <t>Вопрос103</t>
  </si>
  <si>
    <t>Вопрос104</t>
  </si>
  <si>
    <t>Вопрос105</t>
  </si>
  <si>
    <t>Вопрос106</t>
  </si>
  <si>
    <t>Вопрос107</t>
  </si>
  <si>
    <t>Вопрос108</t>
  </si>
  <si>
    <t>Вопрос109</t>
  </si>
  <si>
    <t>Вопрос110</t>
  </si>
  <si>
    <t>Вопрос111</t>
  </si>
  <si>
    <t>Вопрос112</t>
  </si>
  <si>
    <t>Вопрос113</t>
  </si>
  <si>
    <t>Вопрос114</t>
  </si>
  <si>
    <t>Вопрос115</t>
  </si>
  <si>
    <t>Вопрос116</t>
  </si>
  <si>
    <t>Вопрос117</t>
  </si>
  <si>
    <t>Вопрос118</t>
  </si>
  <si>
    <t>Вопрос119</t>
  </si>
  <si>
    <t>Вопрос120</t>
  </si>
  <si>
    <t>Вопрос121</t>
  </si>
  <si>
    <t>Вопрос122</t>
  </si>
  <si>
    <t>Вопрос123</t>
  </si>
  <si>
    <t>Вопрос124</t>
  </si>
  <si>
    <t>Вопрос125</t>
  </si>
  <si>
    <t>Вопрос126</t>
  </si>
  <si>
    <t>Вопрос127</t>
  </si>
  <si>
    <t>Вопрос128</t>
  </si>
  <si>
    <t>Вопрос129</t>
  </si>
  <si>
    <t>Вопрос130</t>
  </si>
  <si>
    <t>Вопрос131</t>
  </si>
  <si>
    <t>Вопрос132</t>
  </si>
  <si>
    <t>Вопрос133</t>
  </si>
  <si>
    <t>Вопрос134</t>
  </si>
  <si>
    <t>Вопрос135</t>
  </si>
  <si>
    <t>Вопрос136</t>
  </si>
  <si>
    <t>Вопрос137</t>
  </si>
  <si>
    <t>Вопрос138</t>
  </si>
  <si>
    <t>Вопрос139</t>
  </si>
  <si>
    <t>Вопрос140</t>
  </si>
  <si>
    <t>Вопрос141</t>
  </si>
  <si>
    <t>Вопрос142</t>
  </si>
  <si>
    <t>Вопрос143</t>
  </si>
  <si>
    <t>Вопрос144</t>
  </si>
  <si>
    <t>Вопрос145</t>
  </si>
  <si>
    <t>Вопрос146</t>
  </si>
  <si>
    <t>Вопрос147</t>
  </si>
  <si>
    <t>Вопрос148</t>
  </si>
  <si>
    <t>Вопрос149</t>
  </si>
  <si>
    <t>Вопрос150</t>
  </si>
  <si>
    <t>В среднем мужчины</t>
  </si>
  <si>
    <t>В среднем женщины</t>
  </si>
  <si>
    <t>Разница</t>
  </si>
  <si>
    <t>М</t>
  </si>
  <si>
    <t>Ж</t>
  </si>
  <si>
    <t>Д</t>
  </si>
  <si>
    <t>Частота</t>
  </si>
  <si>
    <t>Общий итог</t>
  </si>
  <si>
    <t>Процент</t>
  </si>
  <si>
    <t>Решительно не согласен</t>
  </si>
  <si>
    <t>Не согласен</t>
  </si>
  <si>
    <t>Колеблюсь</t>
  </si>
  <si>
    <t>Согласен</t>
  </si>
  <si>
    <t>Полностью согласен</t>
  </si>
  <si>
    <t>Богатство ассортимента</t>
  </si>
  <si>
    <t>В целом я доволен</t>
  </si>
  <si>
    <t>Удобное время работы</t>
  </si>
  <si>
    <t>Качество продукции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</si>
</sst>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  <charset val="204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2" fillId="3" borderId="1" xfId="1" applyFont="1" applyFill="1" applyBorder="1"/>
    <xf numFmtId="0" fontId="2" fillId="3" borderId="1" xfId="1" applyFont="1" applyFill="1" applyBorder="1" applyAlignment="1">
      <alignment horizontal="center" wrapText="1"/>
    </xf>
    <xf numFmtId="0" fontId="4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2">
    <cellStyle name="20% - Акцент6" xfId="1" builtinId="50"/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259080</xdr:colOff>
          <xdr:row>12</xdr:row>
          <xdr:rowOff>38100</xdr:rowOff>
        </xdr:from>
        <xdr:to>
          <xdr:col>21</xdr:col>
          <xdr:colOff>198120</xdr:colOff>
          <xdr:row>14</xdr:row>
          <xdr:rowOff>182880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сводные таблицы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!" refreshedDate="40535.321164930552" createdVersion="3" refreshedVersion="4" minRefreshableVersion="3" recordCount="150">
  <cacheSource type="worksheet">
    <worksheetSource ref="A1:P151" sheet="ДанныеОпроса"/>
  </cacheSource>
  <cacheFields count="16">
    <cacheField name="Имя" numFmtId="0">
      <sharedItems/>
    </cacheField>
    <cacheField name="Пол" numFmtId="0">
      <sharedItems count="3">
        <s v="М"/>
        <s v="Ж"/>
        <s v="Д"/>
      </sharedItems>
    </cacheField>
    <cacheField name="Удобство расположения склада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Удобное время работы" numFmtId="0">
      <sharedItems containsSemiMixedTypes="0" containsString="0" containsNumber="1" containsInteger="1" minValue="1" maxValue="5" count="5">
        <n v="4"/>
        <n v="5"/>
        <n v="1"/>
        <n v="2"/>
        <n v="3"/>
      </sharedItems>
    </cacheField>
    <cacheField name="Качество поддержки" numFmtId="0">
      <sharedItems containsSemiMixedTypes="0" containsString="0" containsNumber="1" containsInteger="1" minValue="1" maxValue="5" count="5">
        <n v="4"/>
        <n v="1"/>
        <n v="3"/>
        <n v="5"/>
        <n v="2"/>
      </sharedItems>
    </cacheField>
    <cacheField name="Быстрота дозвона" numFmtId="0">
      <sharedItems containsSemiMixedTypes="0" containsString="0" containsNumber="1" containsInteger="1" minValue="1" maxValue="5" count="5">
        <n v="4"/>
        <n v="1"/>
        <n v="2"/>
        <n v="5"/>
        <n v="3"/>
      </sharedItems>
    </cacheField>
    <cacheField name="Практичность веб-сайта" numFmtId="0">
      <sharedItems containsSemiMixedTypes="0" containsString="0" containsNumber="1" containsInteger="1" minValue="1" maxValue="5" count="5">
        <n v="1"/>
        <n v="4"/>
        <n v="3"/>
        <n v="5"/>
        <n v="2"/>
      </sharedItems>
    </cacheField>
    <cacheField name="Вежливость сотрудников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Готовность прийти на помощь" numFmtId="0">
      <sharedItems containsSemiMixedTypes="0" containsString="0" containsNumber="1" containsInteger="1" minValue="1" maxValue="5" count="5">
        <n v="2"/>
        <n v="4"/>
        <n v="3"/>
        <n v="1"/>
        <n v="5"/>
      </sharedItems>
    </cacheField>
    <cacheField name="Эрудированность сотрудников" numFmtId="0">
      <sharedItems containsSemiMixedTypes="0" containsString="0" containsNumber="1" containsInteger="1" minValue="1" maxValue="5" count="5">
        <n v="1"/>
        <n v="3"/>
        <n v="4"/>
        <n v="5"/>
        <n v="2"/>
      </sharedItems>
    </cacheField>
    <cacheField name="Конкурентность цен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  <cacheField name="Богатство ассортимента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Привлекательность ТВ-рекламы" numFmtId="0">
      <sharedItems containsSemiMixedTypes="0" containsString="0" containsNumber="1" containsInteger="1" minValue="1" maxValue="5" count="5">
        <n v="5"/>
        <n v="2"/>
        <n v="3"/>
        <n v="1"/>
        <n v="4"/>
      </sharedItems>
    </cacheField>
    <cacheField name="Качесттво продукции" numFmtId="0">
      <sharedItems containsSemiMixedTypes="0" containsString="0" containsNumber="1" containsInteger="1" minValue="1" maxValue="5" count="5">
        <n v="2"/>
        <n v="5"/>
        <n v="4"/>
        <n v="1"/>
        <n v="3"/>
      </sharedItems>
    </cacheField>
    <cacheField name="В целом я доволен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Хочу рекомендовать вашу компанию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s v="Вопрос1"/>
    <x v="0"/>
    <x v="0"/>
    <x v="0"/>
    <x v="0"/>
    <x v="0"/>
    <x v="0"/>
    <x v="0"/>
    <x v="0"/>
    <x v="0"/>
    <x v="0"/>
    <x v="0"/>
    <x v="0"/>
    <x v="0"/>
    <x v="0"/>
    <x v="0"/>
  </r>
  <r>
    <s v="Вопрос2"/>
    <x v="1"/>
    <x v="1"/>
    <x v="1"/>
    <x v="1"/>
    <x v="1"/>
    <x v="1"/>
    <x v="1"/>
    <x v="1"/>
    <x v="1"/>
    <x v="1"/>
    <x v="0"/>
    <x v="1"/>
    <x v="1"/>
    <x v="0"/>
    <x v="1"/>
  </r>
  <r>
    <s v="Вопрос3"/>
    <x v="0"/>
    <x v="0"/>
    <x v="2"/>
    <x v="0"/>
    <x v="2"/>
    <x v="2"/>
    <x v="2"/>
    <x v="0"/>
    <x v="0"/>
    <x v="2"/>
    <x v="1"/>
    <x v="1"/>
    <x v="2"/>
    <x v="1"/>
    <x v="2"/>
  </r>
  <r>
    <s v="Вопрос4"/>
    <x v="0"/>
    <x v="1"/>
    <x v="2"/>
    <x v="2"/>
    <x v="3"/>
    <x v="0"/>
    <x v="1"/>
    <x v="2"/>
    <x v="2"/>
    <x v="2"/>
    <x v="2"/>
    <x v="2"/>
    <x v="2"/>
    <x v="2"/>
    <x v="2"/>
  </r>
  <r>
    <s v="Вопрос5"/>
    <x v="1"/>
    <x v="1"/>
    <x v="3"/>
    <x v="3"/>
    <x v="3"/>
    <x v="1"/>
    <x v="1"/>
    <x v="3"/>
    <x v="3"/>
    <x v="3"/>
    <x v="0"/>
    <x v="2"/>
    <x v="2"/>
    <x v="0"/>
    <x v="3"/>
  </r>
  <r>
    <s v="Вопрос6"/>
    <x v="1"/>
    <x v="1"/>
    <x v="0"/>
    <x v="2"/>
    <x v="4"/>
    <x v="0"/>
    <x v="0"/>
    <x v="1"/>
    <x v="2"/>
    <x v="4"/>
    <x v="0"/>
    <x v="1"/>
    <x v="0"/>
    <x v="0"/>
    <x v="4"/>
  </r>
  <r>
    <s v="Вопрос7"/>
    <x v="2"/>
    <x v="1"/>
    <x v="0"/>
    <x v="3"/>
    <x v="0"/>
    <x v="3"/>
    <x v="2"/>
    <x v="0"/>
    <x v="3"/>
    <x v="4"/>
    <x v="3"/>
    <x v="3"/>
    <x v="1"/>
    <x v="3"/>
    <x v="4"/>
  </r>
  <r>
    <s v="Вопрос8"/>
    <x v="0"/>
    <x v="2"/>
    <x v="3"/>
    <x v="1"/>
    <x v="2"/>
    <x v="2"/>
    <x v="3"/>
    <x v="2"/>
    <x v="0"/>
    <x v="2"/>
    <x v="3"/>
    <x v="2"/>
    <x v="2"/>
    <x v="3"/>
    <x v="2"/>
  </r>
  <r>
    <s v="Вопрос9"/>
    <x v="1"/>
    <x v="2"/>
    <x v="0"/>
    <x v="0"/>
    <x v="0"/>
    <x v="3"/>
    <x v="0"/>
    <x v="1"/>
    <x v="0"/>
    <x v="4"/>
    <x v="2"/>
    <x v="1"/>
    <x v="3"/>
    <x v="2"/>
    <x v="4"/>
  </r>
  <r>
    <s v="Вопрос10"/>
    <x v="0"/>
    <x v="1"/>
    <x v="2"/>
    <x v="3"/>
    <x v="3"/>
    <x v="3"/>
    <x v="0"/>
    <x v="1"/>
    <x v="0"/>
    <x v="2"/>
    <x v="0"/>
    <x v="0"/>
    <x v="0"/>
    <x v="0"/>
    <x v="2"/>
  </r>
  <r>
    <s v="Вопрос11"/>
    <x v="0"/>
    <x v="3"/>
    <x v="4"/>
    <x v="2"/>
    <x v="2"/>
    <x v="0"/>
    <x v="1"/>
    <x v="1"/>
    <x v="4"/>
    <x v="0"/>
    <x v="3"/>
    <x v="1"/>
    <x v="0"/>
    <x v="3"/>
    <x v="0"/>
  </r>
  <r>
    <s v="Вопрос12"/>
    <x v="1"/>
    <x v="1"/>
    <x v="2"/>
    <x v="0"/>
    <x v="3"/>
    <x v="3"/>
    <x v="4"/>
    <x v="2"/>
    <x v="0"/>
    <x v="4"/>
    <x v="2"/>
    <x v="1"/>
    <x v="4"/>
    <x v="3"/>
    <x v="4"/>
  </r>
  <r>
    <s v="Вопрос13"/>
    <x v="1"/>
    <x v="3"/>
    <x v="4"/>
    <x v="0"/>
    <x v="4"/>
    <x v="4"/>
    <x v="4"/>
    <x v="2"/>
    <x v="1"/>
    <x v="2"/>
    <x v="0"/>
    <x v="0"/>
    <x v="0"/>
    <x v="3"/>
    <x v="2"/>
  </r>
  <r>
    <s v="Вопрос14"/>
    <x v="1"/>
    <x v="1"/>
    <x v="4"/>
    <x v="0"/>
    <x v="2"/>
    <x v="0"/>
    <x v="0"/>
    <x v="1"/>
    <x v="4"/>
    <x v="0"/>
    <x v="1"/>
    <x v="2"/>
    <x v="3"/>
    <x v="1"/>
    <x v="0"/>
  </r>
  <r>
    <s v="Вопрос15"/>
    <x v="1"/>
    <x v="0"/>
    <x v="4"/>
    <x v="3"/>
    <x v="1"/>
    <x v="4"/>
    <x v="1"/>
    <x v="1"/>
    <x v="0"/>
    <x v="1"/>
    <x v="3"/>
    <x v="1"/>
    <x v="1"/>
    <x v="3"/>
    <x v="1"/>
  </r>
  <r>
    <s v="Вопрос16"/>
    <x v="0"/>
    <x v="0"/>
    <x v="0"/>
    <x v="1"/>
    <x v="4"/>
    <x v="1"/>
    <x v="2"/>
    <x v="1"/>
    <x v="2"/>
    <x v="3"/>
    <x v="1"/>
    <x v="4"/>
    <x v="3"/>
    <x v="1"/>
    <x v="1"/>
  </r>
  <r>
    <s v="Вопрос17"/>
    <x v="1"/>
    <x v="2"/>
    <x v="0"/>
    <x v="2"/>
    <x v="3"/>
    <x v="3"/>
    <x v="3"/>
    <x v="1"/>
    <x v="1"/>
    <x v="2"/>
    <x v="3"/>
    <x v="1"/>
    <x v="0"/>
    <x v="3"/>
    <x v="2"/>
  </r>
  <r>
    <s v="Вопрос18"/>
    <x v="0"/>
    <x v="0"/>
    <x v="1"/>
    <x v="3"/>
    <x v="4"/>
    <x v="3"/>
    <x v="2"/>
    <x v="1"/>
    <x v="4"/>
    <x v="1"/>
    <x v="0"/>
    <x v="2"/>
    <x v="4"/>
    <x v="0"/>
    <x v="1"/>
  </r>
  <r>
    <s v="Вопрос19"/>
    <x v="1"/>
    <x v="0"/>
    <x v="4"/>
    <x v="3"/>
    <x v="0"/>
    <x v="3"/>
    <x v="4"/>
    <x v="4"/>
    <x v="0"/>
    <x v="0"/>
    <x v="4"/>
    <x v="2"/>
    <x v="0"/>
    <x v="4"/>
    <x v="0"/>
  </r>
  <r>
    <s v="Вопрос20"/>
    <x v="0"/>
    <x v="1"/>
    <x v="3"/>
    <x v="3"/>
    <x v="2"/>
    <x v="4"/>
    <x v="4"/>
    <x v="4"/>
    <x v="1"/>
    <x v="0"/>
    <x v="4"/>
    <x v="1"/>
    <x v="2"/>
    <x v="4"/>
    <x v="0"/>
  </r>
  <r>
    <s v="Вопрос21"/>
    <x v="0"/>
    <x v="2"/>
    <x v="0"/>
    <x v="1"/>
    <x v="0"/>
    <x v="3"/>
    <x v="0"/>
    <x v="2"/>
    <x v="0"/>
    <x v="4"/>
    <x v="2"/>
    <x v="1"/>
    <x v="3"/>
    <x v="2"/>
    <x v="4"/>
  </r>
  <r>
    <s v="Вопрос22"/>
    <x v="0"/>
    <x v="1"/>
    <x v="2"/>
    <x v="3"/>
    <x v="3"/>
    <x v="3"/>
    <x v="0"/>
    <x v="0"/>
    <x v="0"/>
    <x v="2"/>
    <x v="0"/>
    <x v="0"/>
    <x v="0"/>
    <x v="0"/>
    <x v="2"/>
  </r>
  <r>
    <s v="Вопрос23"/>
    <x v="0"/>
    <x v="3"/>
    <x v="4"/>
    <x v="0"/>
    <x v="2"/>
    <x v="0"/>
    <x v="1"/>
    <x v="3"/>
    <x v="4"/>
    <x v="0"/>
    <x v="3"/>
    <x v="4"/>
    <x v="3"/>
    <x v="3"/>
    <x v="2"/>
  </r>
  <r>
    <s v="Вопрос24"/>
    <x v="1"/>
    <x v="0"/>
    <x v="2"/>
    <x v="4"/>
    <x v="3"/>
    <x v="3"/>
    <x v="4"/>
    <x v="2"/>
    <x v="0"/>
    <x v="4"/>
    <x v="2"/>
    <x v="1"/>
    <x v="4"/>
    <x v="2"/>
    <x v="2"/>
  </r>
  <r>
    <s v="Вопрос25"/>
    <x v="1"/>
    <x v="1"/>
    <x v="4"/>
    <x v="0"/>
    <x v="4"/>
    <x v="4"/>
    <x v="4"/>
    <x v="2"/>
    <x v="1"/>
    <x v="2"/>
    <x v="0"/>
    <x v="0"/>
    <x v="0"/>
    <x v="2"/>
    <x v="2"/>
  </r>
  <r>
    <s v="Вопрос26"/>
    <x v="0"/>
    <x v="0"/>
    <x v="4"/>
    <x v="0"/>
    <x v="2"/>
    <x v="0"/>
    <x v="0"/>
    <x v="2"/>
    <x v="4"/>
    <x v="0"/>
    <x v="1"/>
    <x v="1"/>
    <x v="3"/>
    <x v="2"/>
    <x v="0"/>
  </r>
  <r>
    <s v="Вопрос27"/>
    <x v="0"/>
    <x v="0"/>
    <x v="4"/>
    <x v="0"/>
    <x v="1"/>
    <x v="4"/>
    <x v="1"/>
    <x v="0"/>
    <x v="0"/>
    <x v="1"/>
    <x v="3"/>
    <x v="0"/>
    <x v="0"/>
    <x v="3"/>
    <x v="1"/>
  </r>
  <r>
    <s v="Вопрос28"/>
    <x v="0"/>
    <x v="0"/>
    <x v="0"/>
    <x v="0"/>
    <x v="4"/>
    <x v="1"/>
    <x v="2"/>
    <x v="4"/>
    <x v="2"/>
    <x v="3"/>
    <x v="1"/>
    <x v="4"/>
    <x v="0"/>
    <x v="1"/>
    <x v="3"/>
  </r>
  <r>
    <s v="Вопрос29"/>
    <x v="1"/>
    <x v="0"/>
    <x v="0"/>
    <x v="2"/>
    <x v="3"/>
    <x v="3"/>
    <x v="3"/>
    <x v="1"/>
    <x v="1"/>
    <x v="2"/>
    <x v="3"/>
    <x v="1"/>
    <x v="3"/>
    <x v="3"/>
    <x v="2"/>
  </r>
  <r>
    <s v="Вопрос30"/>
    <x v="0"/>
    <x v="0"/>
    <x v="1"/>
    <x v="2"/>
    <x v="4"/>
    <x v="3"/>
    <x v="2"/>
    <x v="1"/>
    <x v="4"/>
    <x v="1"/>
    <x v="0"/>
    <x v="2"/>
    <x v="4"/>
    <x v="0"/>
    <x v="1"/>
  </r>
  <r>
    <s v="Вопрос31"/>
    <x v="1"/>
    <x v="0"/>
    <x v="4"/>
    <x v="2"/>
    <x v="0"/>
    <x v="3"/>
    <x v="4"/>
    <x v="4"/>
    <x v="0"/>
    <x v="0"/>
    <x v="4"/>
    <x v="2"/>
    <x v="0"/>
    <x v="4"/>
    <x v="0"/>
  </r>
  <r>
    <s v="Вопрос32"/>
    <x v="0"/>
    <x v="3"/>
    <x v="3"/>
    <x v="1"/>
    <x v="2"/>
    <x v="4"/>
    <x v="4"/>
    <x v="4"/>
    <x v="1"/>
    <x v="0"/>
    <x v="4"/>
    <x v="1"/>
    <x v="2"/>
    <x v="4"/>
    <x v="0"/>
  </r>
  <r>
    <s v="Вопрос33"/>
    <x v="1"/>
    <x v="0"/>
    <x v="3"/>
    <x v="1"/>
    <x v="3"/>
    <x v="1"/>
    <x v="1"/>
    <x v="4"/>
    <x v="3"/>
    <x v="3"/>
    <x v="0"/>
    <x v="2"/>
    <x v="2"/>
    <x v="0"/>
    <x v="3"/>
  </r>
  <r>
    <s v="Вопрос34"/>
    <x v="0"/>
    <x v="2"/>
    <x v="0"/>
    <x v="2"/>
    <x v="4"/>
    <x v="0"/>
    <x v="0"/>
    <x v="1"/>
    <x v="2"/>
    <x v="4"/>
    <x v="0"/>
    <x v="1"/>
    <x v="3"/>
    <x v="0"/>
    <x v="4"/>
  </r>
  <r>
    <s v="Вопрос35"/>
    <x v="0"/>
    <x v="0"/>
    <x v="0"/>
    <x v="4"/>
    <x v="0"/>
    <x v="3"/>
    <x v="2"/>
    <x v="0"/>
    <x v="3"/>
    <x v="4"/>
    <x v="3"/>
    <x v="3"/>
    <x v="3"/>
    <x v="3"/>
    <x v="4"/>
  </r>
  <r>
    <s v="Вопрос36"/>
    <x v="1"/>
    <x v="2"/>
    <x v="3"/>
    <x v="0"/>
    <x v="2"/>
    <x v="2"/>
    <x v="3"/>
    <x v="2"/>
    <x v="0"/>
    <x v="2"/>
    <x v="3"/>
    <x v="2"/>
    <x v="2"/>
    <x v="3"/>
    <x v="2"/>
  </r>
  <r>
    <s v="Вопрос37"/>
    <x v="1"/>
    <x v="2"/>
    <x v="0"/>
    <x v="0"/>
    <x v="0"/>
    <x v="3"/>
    <x v="0"/>
    <x v="2"/>
    <x v="0"/>
    <x v="4"/>
    <x v="2"/>
    <x v="1"/>
    <x v="3"/>
    <x v="2"/>
    <x v="4"/>
  </r>
  <r>
    <s v="Вопрос38"/>
    <x v="0"/>
    <x v="1"/>
    <x v="2"/>
    <x v="3"/>
    <x v="3"/>
    <x v="3"/>
    <x v="0"/>
    <x v="1"/>
    <x v="0"/>
    <x v="2"/>
    <x v="0"/>
    <x v="0"/>
    <x v="0"/>
    <x v="0"/>
    <x v="2"/>
  </r>
  <r>
    <s v="Вопрос39"/>
    <x v="1"/>
    <x v="0"/>
    <x v="4"/>
    <x v="2"/>
    <x v="2"/>
    <x v="0"/>
    <x v="1"/>
    <x v="3"/>
    <x v="4"/>
    <x v="0"/>
    <x v="3"/>
    <x v="4"/>
    <x v="0"/>
    <x v="3"/>
    <x v="0"/>
  </r>
  <r>
    <s v="Вопрос40"/>
    <x v="1"/>
    <x v="1"/>
    <x v="2"/>
    <x v="4"/>
    <x v="3"/>
    <x v="3"/>
    <x v="4"/>
    <x v="1"/>
    <x v="0"/>
    <x v="4"/>
    <x v="2"/>
    <x v="4"/>
    <x v="4"/>
    <x v="2"/>
    <x v="4"/>
  </r>
  <r>
    <s v="Вопрос41"/>
    <x v="1"/>
    <x v="3"/>
    <x v="4"/>
    <x v="2"/>
    <x v="4"/>
    <x v="4"/>
    <x v="4"/>
    <x v="2"/>
    <x v="1"/>
    <x v="2"/>
    <x v="0"/>
    <x v="0"/>
    <x v="2"/>
    <x v="0"/>
    <x v="2"/>
  </r>
  <r>
    <s v="Вопрос42"/>
    <x v="1"/>
    <x v="4"/>
    <x v="1"/>
    <x v="3"/>
    <x v="3"/>
    <x v="3"/>
    <x v="4"/>
    <x v="4"/>
    <x v="3"/>
    <x v="3"/>
    <x v="4"/>
    <x v="0"/>
    <x v="1"/>
    <x v="4"/>
    <x v="3"/>
  </r>
  <r>
    <s v="Вопрос43"/>
    <x v="0"/>
    <x v="0"/>
    <x v="4"/>
    <x v="3"/>
    <x v="1"/>
    <x v="4"/>
    <x v="1"/>
    <x v="1"/>
    <x v="0"/>
    <x v="1"/>
    <x v="3"/>
    <x v="0"/>
    <x v="3"/>
    <x v="3"/>
    <x v="1"/>
  </r>
  <r>
    <s v="Вопрос44"/>
    <x v="0"/>
    <x v="0"/>
    <x v="0"/>
    <x v="0"/>
    <x v="4"/>
    <x v="1"/>
    <x v="2"/>
    <x v="1"/>
    <x v="2"/>
    <x v="3"/>
    <x v="1"/>
    <x v="4"/>
    <x v="0"/>
    <x v="1"/>
    <x v="3"/>
  </r>
  <r>
    <s v="Вопрос45"/>
    <x v="0"/>
    <x v="0"/>
    <x v="0"/>
    <x v="2"/>
    <x v="3"/>
    <x v="3"/>
    <x v="3"/>
    <x v="1"/>
    <x v="1"/>
    <x v="2"/>
    <x v="3"/>
    <x v="1"/>
    <x v="3"/>
    <x v="3"/>
    <x v="2"/>
  </r>
  <r>
    <s v="Вопрос46"/>
    <x v="1"/>
    <x v="4"/>
    <x v="1"/>
    <x v="1"/>
    <x v="4"/>
    <x v="3"/>
    <x v="2"/>
    <x v="1"/>
    <x v="4"/>
    <x v="1"/>
    <x v="0"/>
    <x v="2"/>
    <x v="0"/>
    <x v="0"/>
    <x v="2"/>
  </r>
  <r>
    <s v="Вопрос47"/>
    <x v="1"/>
    <x v="3"/>
    <x v="0"/>
    <x v="0"/>
    <x v="0"/>
    <x v="1"/>
    <x v="3"/>
    <x v="1"/>
    <x v="2"/>
    <x v="4"/>
    <x v="3"/>
    <x v="4"/>
    <x v="2"/>
    <x v="3"/>
    <x v="4"/>
  </r>
  <r>
    <s v="Вопрос48"/>
    <x v="0"/>
    <x v="3"/>
    <x v="3"/>
    <x v="0"/>
    <x v="2"/>
    <x v="4"/>
    <x v="4"/>
    <x v="4"/>
    <x v="1"/>
    <x v="0"/>
    <x v="4"/>
    <x v="0"/>
    <x v="2"/>
    <x v="4"/>
    <x v="0"/>
  </r>
  <r>
    <s v="Вопрос49"/>
    <x v="1"/>
    <x v="2"/>
    <x v="0"/>
    <x v="0"/>
    <x v="0"/>
    <x v="3"/>
    <x v="0"/>
    <x v="2"/>
    <x v="0"/>
    <x v="4"/>
    <x v="2"/>
    <x v="0"/>
    <x v="3"/>
    <x v="2"/>
    <x v="4"/>
  </r>
  <r>
    <s v="Вопрос50"/>
    <x v="0"/>
    <x v="1"/>
    <x v="2"/>
    <x v="3"/>
    <x v="3"/>
    <x v="3"/>
    <x v="0"/>
    <x v="0"/>
    <x v="0"/>
    <x v="2"/>
    <x v="0"/>
    <x v="0"/>
    <x v="0"/>
    <x v="0"/>
    <x v="2"/>
  </r>
  <r>
    <s v="Вопрос51"/>
    <x v="0"/>
    <x v="3"/>
    <x v="4"/>
    <x v="2"/>
    <x v="2"/>
    <x v="0"/>
    <x v="1"/>
    <x v="3"/>
    <x v="4"/>
    <x v="0"/>
    <x v="3"/>
    <x v="4"/>
    <x v="0"/>
    <x v="3"/>
    <x v="0"/>
  </r>
  <r>
    <s v="Вопрос52"/>
    <x v="0"/>
    <x v="1"/>
    <x v="2"/>
    <x v="4"/>
    <x v="3"/>
    <x v="3"/>
    <x v="4"/>
    <x v="2"/>
    <x v="0"/>
    <x v="4"/>
    <x v="2"/>
    <x v="4"/>
    <x v="4"/>
    <x v="2"/>
    <x v="4"/>
  </r>
  <r>
    <s v="Вопрос53"/>
    <x v="0"/>
    <x v="0"/>
    <x v="2"/>
    <x v="1"/>
    <x v="1"/>
    <x v="0"/>
    <x v="0"/>
    <x v="3"/>
    <x v="0"/>
    <x v="0"/>
    <x v="2"/>
    <x v="3"/>
    <x v="3"/>
    <x v="2"/>
    <x v="0"/>
  </r>
  <r>
    <s v="Вопрос54"/>
    <x v="1"/>
    <x v="1"/>
    <x v="4"/>
    <x v="1"/>
    <x v="2"/>
    <x v="0"/>
    <x v="0"/>
    <x v="2"/>
    <x v="4"/>
    <x v="0"/>
    <x v="1"/>
    <x v="2"/>
    <x v="3"/>
    <x v="1"/>
    <x v="0"/>
  </r>
  <r>
    <s v="Вопрос55"/>
    <x v="1"/>
    <x v="0"/>
    <x v="4"/>
    <x v="3"/>
    <x v="1"/>
    <x v="4"/>
    <x v="1"/>
    <x v="0"/>
    <x v="0"/>
    <x v="1"/>
    <x v="3"/>
    <x v="0"/>
    <x v="1"/>
    <x v="3"/>
    <x v="1"/>
  </r>
  <r>
    <s v="Вопрос56"/>
    <x v="1"/>
    <x v="0"/>
    <x v="0"/>
    <x v="1"/>
    <x v="4"/>
    <x v="1"/>
    <x v="2"/>
    <x v="4"/>
    <x v="2"/>
    <x v="3"/>
    <x v="1"/>
    <x v="4"/>
    <x v="0"/>
    <x v="1"/>
    <x v="3"/>
  </r>
  <r>
    <s v="Вопрос57"/>
    <x v="1"/>
    <x v="2"/>
    <x v="0"/>
    <x v="2"/>
    <x v="3"/>
    <x v="3"/>
    <x v="3"/>
    <x v="1"/>
    <x v="1"/>
    <x v="2"/>
    <x v="3"/>
    <x v="1"/>
    <x v="1"/>
    <x v="3"/>
    <x v="3"/>
  </r>
  <r>
    <s v="Вопрос58"/>
    <x v="0"/>
    <x v="1"/>
    <x v="1"/>
    <x v="0"/>
    <x v="4"/>
    <x v="3"/>
    <x v="2"/>
    <x v="1"/>
    <x v="4"/>
    <x v="1"/>
    <x v="0"/>
    <x v="2"/>
    <x v="4"/>
    <x v="0"/>
    <x v="1"/>
  </r>
  <r>
    <s v="Вопрос59"/>
    <x v="0"/>
    <x v="0"/>
    <x v="4"/>
    <x v="2"/>
    <x v="0"/>
    <x v="3"/>
    <x v="4"/>
    <x v="4"/>
    <x v="0"/>
    <x v="0"/>
    <x v="4"/>
    <x v="2"/>
    <x v="0"/>
    <x v="4"/>
    <x v="0"/>
  </r>
  <r>
    <s v="Вопрос60"/>
    <x v="0"/>
    <x v="3"/>
    <x v="3"/>
    <x v="0"/>
    <x v="2"/>
    <x v="4"/>
    <x v="4"/>
    <x v="4"/>
    <x v="1"/>
    <x v="0"/>
    <x v="4"/>
    <x v="1"/>
    <x v="2"/>
    <x v="4"/>
    <x v="0"/>
  </r>
  <r>
    <s v="Вопрос61"/>
    <x v="0"/>
    <x v="2"/>
    <x v="3"/>
    <x v="1"/>
    <x v="2"/>
    <x v="2"/>
    <x v="3"/>
    <x v="2"/>
    <x v="0"/>
    <x v="2"/>
    <x v="3"/>
    <x v="2"/>
    <x v="2"/>
    <x v="3"/>
    <x v="2"/>
  </r>
  <r>
    <s v="Вопрос62"/>
    <x v="1"/>
    <x v="2"/>
    <x v="0"/>
    <x v="0"/>
    <x v="0"/>
    <x v="3"/>
    <x v="0"/>
    <x v="1"/>
    <x v="0"/>
    <x v="4"/>
    <x v="2"/>
    <x v="1"/>
    <x v="3"/>
    <x v="2"/>
    <x v="4"/>
  </r>
  <r>
    <s v="Вопрос63"/>
    <x v="0"/>
    <x v="1"/>
    <x v="2"/>
    <x v="3"/>
    <x v="3"/>
    <x v="3"/>
    <x v="0"/>
    <x v="1"/>
    <x v="0"/>
    <x v="2"/>
    <x v="0"/>
    <x v="4"/>
    <x v="0"/>
    <x v="0"/>
    <x v="2"/>
  </r>
  <r>
    <s v="Вопрос64"/>
    <x v="0"/>
    <x v="3"/>
    <x v="4"/>
    <x v="2"/>
    <x v="2"/>
    <x v="0"/>
    <x v="1"/>
    <x v="1"/>
    <x v="4"/>
    <x v="0"/>
    <x v="3"/>
    <x v="4"/>
    <x v="0"/>
    <x v="3"/>
    <x v="0"/>
  </r>
  <r>
    <s v="Вопрос65"/>
    <x v="1"/>
    <x v="1"/>
    <x v="2"/>
    <x v="0"/>
    <x v="3"/>
    <x v="3"/>
    <x v="4"/>
    <x v="2"/>
    <x v="0"/>
    <x v="4"/>
    <x v="2"/>
    <x v="4"/>
    <x v="4"/>
    <x v="3"/>
    <x v="4"/>
  </r>
  <r>
    <s v="Вопрос66"/>
    <x v="1"/>
    <x v="3"/>
    <x v="4"/>
    <x v="0"/>
    <x v="4"/>
    <x v="4"/>
    <x v="4"/>
    <x v="2"/>
    <x v="1"/>
    <x v="2"/>
    <x v="0"/>
    <x v="0"/>
    <x v="0"/>
    <x v="3"/>
    <x v="2"/>
  </r>
  <r>
    <s v="Вопрос67"/>
    <x v="1"/>
    <x v="1"/>
    <x v="4"/>
    <x v="0"/>
    <x v="2"/>
    <x v="0"/>
    <x v="0"/>
    <x v="1"/>
    <x v="4"/>
    <x v="0"/>
    <x v="1"/>
    <x v="2"/>
    <x v="3"/>
    <x v="1"/>
    <x v="0"/>
  </r>
  <r>
    <s v="Вопрос68"/>
    <x v="1"/>
    <x v="0"/>
    <x v="4"/>
    <x v="3"/>
    <x v="1"/>
    <x v="4"/>
    <x v="1"/>
    <x v="1"/>
    <x v="0"/>
    <x v="1"/>
    <x v="3"/>
    <x v="1"/>
    <x v="1"/>
    <x v="3"/>
    <x v="1"/>
  </r>
  <r>
    <s v="Вопрос69"/>
    <x v="0"/>
    <x v="0"/>
    <x v="0"/>
    <x v="1"/>
    <x v="4"/>
    <x v="1"/>
    <x v="2"/>
    <x v="1"/>
    <x v="2"/>
    <x v="3"/>
    <x v="1"/>
    <x v="4"/>
    <x v="3"/>
    <x v="1"/>
    <x v="1"/>
  </r>
  <r>
    <s v="Вопрос70"/>
    <x v="1"/>
    <x v="2"/>
    <x v="0"/>
    <x v="2"/>
    <x v="3"/>
    <x v="3"/>
    <x v="3"/>
    <x v="1"/>
    <x v="1"/>
    <x v="2"/>
    <x v="3"/>
    <x v="1"/>
    <x v="0"/>
    <x v="3"/>
    <x v="2"/>
  </r>
  <r>
    <s v="Вопрос71"/>
    <x v="0"/>
    <x v="0"/>
    <x v="1"/>
    <x v="3"/>
    <x v="4"/>
    <x v="3"/>
    <x v="2"/>
    <x v="1"/>
    <x v="4"/>
    <x v="1"/>
    <x v="0"/>
    <x v="2"/>
    <x v="4"/>
    <x v="0"/>
    <x v="1"/>
  </r>
  <r>
    <s v="Вопрос72"/>
    <x v="1"/>
    <x v="0"/>
    <x v="4"/>
    <x v="3"/>
    <x v="0"/>
    <x v="3"/>
    <x v="4"/>
    <x v="4"/>
    <x v="0"/>
    <x v="0"/>
    <x v="4"/>
    <x v="2"/>
    <x v="0"/>
    <x v="4"/>
    <x v="0"/>
  </r>
  <r>
    <s v="Вопрос73"/>
    <x v="0"/>
    <x v="1"/>
    <x v="3"/>
    <x v="3"/>
    <x v="2"/>
    <x v="4"/>
    <x v="4"/>
    <x v="4"/>
    <x v="1"/>
    <x v="0"/>
    <x v="4"/>
    <x v="1"/>
    <x v="2"/>
    <x v="4"/>
    <x v="0"/>
  </r>
  <r>
    <s v="Вопрос74"/>
    <x v="0"/>
    <x v="2"/>
    <x v="0"/>
    <x v="1"/>
    <x v="0"/>
    <x v="3"/>
    <x v="0"/>
    <x v="2"/>
    <x v="0"/>
    <x v="4"/>
    <x v="2"/>
    <x v="1"/>
    <x v="3"/>
    <x v="2"/>
    <x v="4"/>
  </r>
  <r>
    <s v="Вопрос75"/>
    <x v="0"/>
    <x v="1"/>
    <x v="2"/>
    <x v="3"/>
    <x v="3"/>
    <x v="3"/>
    <x v="0"/>
    <x v="0"/>
    <x v="0"/>
    <x v="2"/>
    <x v="0"/>
    <x v="0"/>
    <x v="0"/>
    <x v="0"/>
    <x v="2"/>
  </r>
  <r>
    <s v="Вопрос76"/>
    <x v="0"/>
    <x v="3"/>
    <x v="4"/>
    <x v="0"/>
    <x v="2"/>
    <x v="0"/>
    <x v="1"/>
    <x v="3"/>
    <x v="4"/>
    <x v="0"/>
    <x v="3"/>
    <x v="4"/>
    <x v="3"/>
    <x v="3"/>
    <x v="2"/>
  </r>
  <r>
    <s v="Вопрос77"/>
    <x v="1"/>
    <x v="0"/>
    <x v="2"/>
    <x v="4"/>
    <x v="3"/>
    <x v="3"/>
    <x v="4"/>
    <x v="2"/>
    <x v="0"/>
    <x v="4"/>
    <x v="2"/>
    <x v="4"/>
    <x v="4"/>
    <x v="2"/>
    <x v="2"/>
  </r>
  <r>
    <s v="Вопрос78"/>
    <x v="1"/>
    <x v="1"/>
    <x v="4"/>
    <x v="0"/>
    <x v="4"/>
    <x v="4"/>
    <x v="4"/>
    <x v="2"/>
    <x v="1"/>
    <x v="2"/>
    <x v="0"/>
    <x v="0"/>
    <x v="0"/>
    <x v="2"/>
    <x v="2"/>
  </r>
  <r>
    <s v="Вопрос79"/>
    <x v="0"/>
    <x v="0"/>
    <x v="4"/>
    <x v="0"/>
    <x v="2"/>
    <x v="0"/>
    <x v="0"/>
    <x v="2"/>
    <x v="4"/>
    <x v="0"/>
    <x v="1"/>
    <x v="4"/>
    <x v="3"/>
    <x v="2"/>
    <x v="0"/>
  </r>
  <r>
    <s v="Вопрос80"/>
    <x v="0"/>
    <x v="0"/>
    <x v="4"/>
    <x v="0"/>
    <x v="1"/>
    <x v="4"/>
    <x v="1"/>
    <x v="0"/>
    <x v="0"/>
    <x v="1"/>
    <x v="3"/>
    <x v="0"/>
    <x v="0"/>
    <x v="3"/>
    <x v="1"/>
  </r>
  <r>
    <s v="Вопрос81"/>
    <x v="0"/>
    <x v="0"/>
    <x v="0"/>
    <x v="0"/>
    <x v="4"/>
    <x v="1"/>
    <x v="2"/>
    <x v="4"/>
    <x v="2"/>
    <x v="3"/>
    <x v="1"/>
    <x v="4"/>
    <x v="0"/>
    <x v="1"/>
    <x v="3"/>
  </r>
  <r>
    <s v="Вопрос82"/>
    <x v="1"/>
    <x v="0"/>
    <x v="0"/>
    <x v="2"/>
    <x v="3"/>
    <x v="3"/>
    <x v="3"/>
    <x v="1"/>
    <x v="1"/>
    <x v="2"/>
    <x v="3"/>
    <x v="1"/>
    <x v="3"/>
    <x v="3"/>
    <x v="2"/>
  </r>
  <r>
    <s v="Вопрос83"/>
    <x v="0"/>
    <x v="0"/>
    <x v="1"/>
    <x v="2"/>
    <x v="4"/>
    <x v="3"/>
    <x v="2"/>
    <x v="1"/>
    <x v="4"/>
    <x v="1"/>
    <x v="0"/>
    <x v="2"/>
    <x v="4"/>
    <x v="0"/>
    <x v="1"/>
  </r>
  <r>
    <s v="Вопрос84"/>
    <x v="1"/>
    <x v="0"/>
    <x v="4"/>
    <x v="2"/>
    <x v="0"/>
    <x v="3"/>
    <x v="4"/>
    <x v="4"/>
    <x v="0"/>
    <x v="0"/>
    <x v="4"/>
    <x v="2"/>
    <x v="0"/>
    <x v="4"/>
    <x v="0"/>
  </r>
  <r>
    <s v="Вопрос85"/>
    <x v="0"/>
    <x v="3"/>
    <x v="3"/>
    <x v="1"/>
    <x v="2"/>
    <x v="4"/>
    <x v="4"/>
    <x v="4"/>
    <x v="1"/>
    <x v="0"/>
    <x v="4"/>
    <x v="0"/>
    <x v="2"/>
    <x v="4"/>
    <x v="0"/>
  </r>
  <r>
    <s v="Вопрос86"/>
    <x v="1"/>
    <x v="0"/>
    <x v="3"/>
    <x v="1"/>
    <x v="3"/>
    <x v="1"/>
    <x v="1"/>
    <x v="4"/>
    <x v="3"/>
    <x v="3"/>
    <x v="0"/>
    <x v="2"/>
    <x v="2"/>
    <x v="0"/>
    <x v="3"/>
  </r>
  <r>
    <s v="Вопрос87"/>
    <x v="0"/>
    <x v="2"/>
    <x v="0"/>
    <x v="2"/>
    <x v="4"/>
    <x v="0"/>
    <x v="0"/>
    <x v="1"/>
    <x v="2"/>
    <x v="4"/>
    <x v="0"/>
    <x v="1"/>
    <x v="3"/>
    <x v="0"/>
    <x v="4"/>
  </r>
  <r>
    <s v="Вопрос88"/>
    <x v="0"/>
    <x v="0"/>
    <x v="0"/>
    <x v="4"/>
    <x v="0"/>
    <x v="3"/>
    <x v="2"/>
    <x v="0"/>
    <x v="3"/>
    <x v="4"/>
    <x v="3"/>
    <x v="4"/>
    <x v="3"/>
    <x v="3"/>
    <x v="4"/>
  </r>
  <r>
    <s v="Вопрос89"/>
    <x v="1"/>
    <x v="2"/>
    <x v="3"/>
    <x v="0"/>
    <x v="2"/>
    <x v="2"/>
    <x v="3"/>
    <x v="2"/>
    <x v="0"/>
    <x v="2"/>
    <x v="3"/>
    <x v="2"/>
    <x v="2"/>
    <x v="3"/>
    <x v="2"/>
  </r>
  <r>
    <s v="Вопрос90"/>
    <x v="1"/>
    <x v="2"/>
    <x v="0"/>
    <x v="0"/>
    <x v="0"/>
    <x v="3"/>
    <x v="0"/>
    <x v="2"/>
    <x v="0"/>
    <x v="4"/>
    <x v="2"/>
    <x v="1"/>
    <x v="3"/>
    <x v="2"/>
    <x v="4"/>
  </r>
  <r>
    <s v="Вопрос91"/>
    <x v="1"/>
    <x v="0"/>
    <x v="2"/>
    <x v="4"/>
    <x v="3"/>
    <x v="3"/>
    <x v="4"/>
    <x v="2"/>
    <x v="0"/>
    <x v="4"/>
    <x v="2"/>
    <x v="4"/>
    <x v="4"/>
    <x v="2"/>
    <x v="2"/>
  </r>
  <r>
    <s v="Вопрос92"/>
    <x v="1"/>
    <x v="1"/>
    <x v="4"/>
    <x v="0"/>
    <x v="4"/>
    <x v="4"/>
    <x v="4"/>
    <x v="2"/>
    <x v="1"/>
    <x v="2"/>
    <x v="0"/>
    <x v="0"/>
    <x v="0"/>
    <x v="2"/>
    <x v="2"/>
  </r>
  <r>
    <s v="Вопрос93"/>
    <x v="0"/>
    <x v="0"/>
    <x v="4"/>
    <x v="0"/>
    <x v="2"/>
    <x v="0"/>
    <x v="0"/>
    <x v="2"/>
    <x v="4"/>
    <x v="0"/>
    <x v="1"/>
    <x v="2"/>
    <x v="3"/>
    <x v="2"/>
    <x v="0"/>
  </r>
  <r>
    <s v="Вопрос94"/>
    <x v="0"/>
    <x v="0"/>
    <x v="4"/>
    <x v="0"/>
    <x v="1"/>
    <x v="4"/>
    <x v="1"/>
    <x v="0"/>
    <x v="0"/>
    <x v="1"/>
    <x v="3"/>
    <x v="0"/>
    <x v="0"/>
    <x v="3"/>
    <x v="1"/>
  </r>
  <r>
    <s v="Вопрос95"/>
    <x v="0"/>
    <x v="0"/>
    <x v="0"/>
    <x v="0"/>
    <x v="4"/>
    <x v="1"/>
    <x v="2"/>
    <x v="4"/>
    <x v="2"/>
    <x v="3"/>
    <x v="1"/>
    <x v="4"/>
    <x v="0"/>
    <x v="1"/>
    <x v="3"/>
  </r>
  <r>
    <s v="Вопрос96"/>
    <x v="1"/>
    <x v="0"/>
    <x v="0"/>
    <x v="2"/>
    <x v="3"/>
    <x v="3"/>
    <x v="3"/>
    <x v="1"/>
    <x v="1"/>
    <x v="2"/>
    <x v="3"/>
    <x v="1"/>
    <x v="3"/>
    <x v="3"/>
    <x v="2"/>
  </r>
  <r>
    <s v="Вопрос97"/>
    <x v="0"/>
    <x v="0"/>
    <x v="4"/>
    <x v="0"/>
    <x v="2"/>
    <x v="0"/>
    <x v="0"/>
    <x v="2"/>
    <x v="4"/>
    <x v="0"/>
    <x v="1"/>
    <x v="2"/>
    <x v="3"/>
    <x v="2"/>
    <x v="0"/>
  </r>
  <r>
    <s v="Вопрос98"/>
    <x v="0"/>
    <x v="0"/>
    <x v="4"/>
    <x v="0"/>
    <x v="1"/>
    <x v="4"/>
    <x v="1"/>
    <x v="0"/>
    <x v="0"/>
    <x v="1"/>
    <x v="3"/>
    <x v="0"/>
    <x v="0"/>
    <x v="3"/>
    <x v="1"/>
  </r>
  <r>
    <s v="Вопрос99"/>
    <x v="0"/>
    <x v="0"/>
    <x v="0"/>
    <x v="0"/>
    <x v="4"/>
    <x v="1"/>
    <x v="2"/>
    <x v="4"/>
    <x v="2"/>
    <x v="3"/>
    <x v="1"/>
    <x v="4"/>
    <x v="0"/>
    <x v="1"/>
    <x v="3"/>
  </r>
  <r>
    <s v="Вопрос100"/>
    <x v="1"/>
    <x v="0"/>
    <x v="0"/>
    <x v="2"/>
    <x v="3"/>
    <x v="3"/>
    <x v="3"/>
    <x v="1"/>
    <x v="1"/>
    <x v="2"/>
    <x v="3"/>
    <x v="1"/>
    <x v="3"/>
    <x v="3"/>
    <x v="2"/>
  </r>
  <r>
    <s v="Вопрос101"/>
    <x v="1"/>
    <x v="2"/>
    <x v="0"/>
    <x v="0"/>
    <x v="0"/>
    <x v="3"/>
    <x v="0"/>
    <x v="1"/>
    <x v="0"/>
    <x v="4"/>
    <x v="2"/>
    <x v="1"/>
    <x v="3"/>
    <x v="2"/>
    <x v="4"/>
  </r>
  <r>
    <s v="Вопрос102"/>
    <x v="0"/>
    <x v="1"/>
    <x v="2"/>
    <x v="3"/>
    <x v="3"/>
    <x v="3"/>
    <x v="0"/>
    <x v="1"/>
    <x v="0"/>
    <x v="2"/>
    <x v="0"/>
    <x v="0"/>
    <x v="0"/>
    <x v="0"/>
    <x v="2"/>
  </r>
  <r>
    <s v="Вопрос103"/>
    <x v="0"/>
    <x v="3"/>
    <x v="4"/>
    <x v="2"/>
    <x v="2"/>
    <x v="0"/>
    <x v="1"/>
    <x v="1"/>
    <x v="4"/>
    <x v="0"/>
    <x v="3"/>
    <x v="4"/>
    <x v="0"/>
    <x v="3"/>
    <x v="0"/>
  </r>
  <r>
    <s v="Вопрос104"/>
    <x v="1"/>
    <x v="1"/>
    <x v="2"/>
    <x v="0"/>
    <x v="3"/>
    <x v="3"/>
    <x v="4"/>
    <x v="2"/>
    <x v="0"/>
    <x v="4"/>
    <x v="2"/>
    <x v="4"/>
    <x v="4"/>
    <x v="3"/>
    <x v="4"/>
  </r>
  <r>
    <s v="Вопрос105"/>
    <x v="1"/>
    <x v="3"/>
    <x v="4"/>
    <x v="0"/>
    <x v="4"/>
    <x v="4"/>
    <x v="4"/>
    <x v="2"/>
    <x v="1"/>
    <x v="2"/>
    <x v="0"/>
    <x v="0"/>
    <x v="0"/>
    <x v="3"/>
    <x v="2"/>
  </r>
  <r>
    <s v="Вопрос106"/>
    <x v="1"/>
    <x v="1"/>
    <x v="4"/>
    <x v="0"/>
    <x v="2"/>
    <x v="0"/>
    <x v="0"/>
    <x v="1"/>
    <x v="4"/>
    <x v="0"/>
    <x v="1"/>
    <x v="2"/>
    <x v="3"/>
    <x v="1"/>
    <x v="0"/>
  </r>
  <r>
    <s v="Вопрос107"/>
    <x v="1"/>
    <x v="0"/>
    <x v="4"/>
    <x v="3"/>
    <x v="1"/>
    <x v="4"/>
    <x v="1"/>
    <x v="1"/>
    <x v="0"/>
    <x v="1"/>
    <x v="3"/>
    <x v="1"/>
    <x v="1"/>
    <x v="3"/>
    <x v="1"/>
  </r>
  <r>
    <s v="Вопрос108"/>
    <x v="0"/>
    <x v="0"/>
    <x v="0"/>
    <x v="1"/>
    <x v="4"/>
    <x v="1"/>
    <x v="2"/>
    <x v="1"/>
    <x v="2"/>
    <x v="3"/>
    <x v="1"/>
    <x v="1"/>
    <x v="3"/>
    <x v="1"/>
    <x v="1"/>
  </r>
  <r>
    <s v="Вопрос109"/>
    <x v="1"/>
    <x v="2"/>
    <x v="0"/>
    <x v="2"/>
    <x v="3"/>
    <x v="3"/>
    <x v="3"/>
    <x v="1"/>
    <x v="1"/>
    <x v="2"/>
    <x v="3"/>
    <x v="3"/>
    <x v="0"/>
    <x v="3"/>
    <x v="2"/>
  </r>
  <r>
    <s v="Вопрос110"/>
    <x v="0"/>
    <x v="0"/>
    <x v="1"/>
    <x v="3"/>
    <x v="4"/>
    <x v="3"/>
    <x v="2"/>
    <x v="1"/>
    <x v="4"/>
    <x v="1"/>
    <x v="0"/>
    <x v="4"/>
    <x v="4"/>
    <x v="0"/>
    <x v="1"/>
  </r>
  <r>
    <s v="Вопрос111"/>
    <x v="1"/>
    <x v="0"/>
    <x v="4"/>
    <x v="3"/>
    <x v="0"/>
    <x v="3"/>
    <x v="4"/>
    <x v="4"/>
    <x v="0"/>
    <x v="0"/>
    <x v="4"/>
    <x v="2"/>
    <x v="0"/>
    <x v="4"/>
    <x v="0"/>
  </r>
  <r>
    <s v="Вопрос112"/>
    <x v="0"/>
    <x v="1"/>
    <x v="3"/>
    <x v="3"/>
    <x v="2"/>
    <x v="4"/>
    <x v="4"/>
    <x v="4"/>
    <x v="1"/>
    <x v="0"/>
    <x v="4"/>
    <x v="1"/>
    <x v="2"/>
    <x v="4"/>
    <x v="0"/>
  </r>
  <r>
    <s v="Вопрос113"/>
    <x v="0"/>
    <x v="2"/>
    <x v="0"/>
    <x v="1"/>
    <x v="0"/>
    <x v="3"/>
    <x v="0"/>
    <x v="2"/>
    <x v="0"/>
    <x v="4"/>
    <x v="2"/>
    <x v="1"/>
    <x v="3"/>
    <x v="2"/>
    <x v="4"/>
  </r>
  <r>
    <s v="Вопрос114"/>
    <x v="0"/>
    <x v="1"/>
    <x v="2"/>
    <x v="3"/>
    <x v="3"/>
    <x v="3"/>
    <x v="0"/>
    <x v="0"/>
    <x v="0"/>
    <x v="2"/>
    <x v="0"/>
    <x v="0"/>
    <x v="0"/>
    <x v="0"/>
    <x v="2"/>
  </r>
  <r>
    <s v="Вопрос115"/>
    <x v="0"/>
    <x v="3"/>
    <x v="4"/>
    <x v="0"/>
    <x v="2"/>
    <x v="0"/>
    <x v="1"/>
    <x v="3"/>
    <x v="4"/>
    <x v="0"/>
    <x v="3"/>
    <x v="4"/>
    <x v="3"/>
    <x v="3"/>
    <x v="2"/>
  </r>
  <r>
    <s v="Вопрос116"/>
    <x v="1"/>
    <x v="0"/>
    <x v="2"/>
    <x v="4"/>
    <x v="3"/>
    <x v="3"/>
    <x v="4"/>
    <x v="2"/>
    <x v="0"/>
    <x v="4"/>
    <x v="2"/>
    <x v="4"/>
    <x v="4"/>
    <x v="2"/>
    <x v="2"/>
  </r>
  <r>
    <s v="Вопрос117"/>
    <x v="1"/>
    <x v="1"/>
    <x v="4"/>
    <x v="0"/>
    <x v="4"/>
    <x v="4"/>
    <x v="4"/>
    <x v="2"/>
    <x v="1"/>
    <x v="2"/>
    <x v="0"/>
    <x v="0"/>
    <x v="0"/>
    <x v="2"/>
    <x v="2"/>
  </r>
  <r>
    <s v="Вопрос118"/>
    <x v="0"/>
    <x v="0"/>
    <x v="4"/>
    <x v="0"/>
    <x v="2"/>
    <x v="0"/>
    <x v="0"/>
    <x v="2"/>
    <x v="4"/>
    <x v="0"/>
    <x v="1"/>
    <x v="2"/>
    <x v="3"/>
    <x v="2"/>
    <x v="0"/>
  </r>
  <r>
    <s v="Вопрос119"/>
    <x v="0"/>
    <x v="0"/>
    <x v="4"/>
    <x v="0"/>
    <x v="1"/>
    <x v="4"/>
    <x v="1"/>
    <x v="2"/>
    <x v="0"/>
    <x v="1"/>
    <x v="3"/>
    <x v="0"/>
    <x v="0"/>
    <x v="3"/>
    <x v="1"/>
  </r>
  <r>
    <s v="Вопрос120"/>
    <x v="0"/>
    <x v="0"/>
    <x v="0"/>
    <x v="0"/>
    <x v="4"/>
    <x v="1"/>
    <x v="2"/>
    <x v="4"/>
    <x v="2"/>
    <x v="3"/>
    <x v="1"/>
    <x v="4"/>
    <x v="0"/>
    <x v="1"/>
    <x v="3"/>
  </r>
  <r>
    <s v="Вопрос121"/>
    <x v="1"/>
    <x v="0"/>
    <x v="0"/>
    <x v="2"/>
    <x v="3"/>
    <x v="3"/>
    <x v="3"/>
    <x v="1"/>
    <x v="1"/>
    <x v="2"/>
    <x v="3"/>
    <x v="1"/>
    <x v="3"/>
    <x v="3"/>
    <x v="2"/>
  </r>
  <r>
    <s v="Вопрос122"/>
    <x v="0"/>
    <x v="0"/>
    <x v="1"/>
    <x v="2"/>
    <x v="4"/>
    <x v="3"/>
    <x v="2"/>
    <x v="1"/>
    <x v="4"/>
    <x v="1"/>
    <x v="0"/>
    <x v="2"/>
    <x v="4"/>
    <x v="0"/>
    <x v="1"/>
  </r>
  <r>
    <s v="Вопрос123"/>
    <x v="1"/>
    <x v="0"/>
    <x v="4"/>
    <x v="2"/>
    <x v="0"/>
    <x v="3"/>
    <x v="4"/>
    <x v="4"/>
    <x v="0"/>
    <x v="0"/>
    <x v="4"/>
    <x v="2"/>
    <x v="0"/>
    <x v="4"/>
    <x v="0"/>
  </r>
  <r>
    <s v="Вопрос124"/>
    <x v="0"/>
    <x v="3"/>
    <x v="3"/>
    <x v="1"/>
    <x v="2"/>
    <x v="4"/>
    <x v="4"/>
    <x v="4"/>
    <x v="1"/>
    <x v="0"/>
    <x v="4"/>
    <x v="1"/>
    <x v="2"/>
    <x v="4"/>
    <x v="0"/>
  </r>
  <r>
    <s v="Вопрос125"/>
    <x v="1"/>
    <x v="0"/>
    <x v="3"/>
    <x v="1"/>
    <x v="3"/>
    <x v="1"/>
    <x v="1"/>
    <x v="2"/>
    <x v="3"/>
    <x v="3"/>
    <x v="0"/>
    <x v="2"/>
    <x v="2"/>
    <x v="0"/>
    <x v="3"/>
  </r>
  <r>
    <s v="Вопрос126"/>
    <x v="0"/>
    <x v="2"/>
    <x v="0"/>
    <x v="2"/>
    <x v="4"/>
    <x v="0"/>
    <x v="0"/>
    <x v="1"/>
    <x v="2"/>
    <x v="4"/>
    <x v="0"/>
    <x v="0"/>
    <x v="3"/>
    <x v="0"/>
    <x v="4"/>
  </r>
  <r>
    <s v="Вопрос127"/>
    <x v="0"/>
    <x v="0"/>
    <x v="0"/>
    <x v="4"/>
    <x v="0"/>
    <x v="3"/>
    <x v="2"/>
    <x v="0"/>
    <x v="3"/>
    <x v="4"/>
    <x v="3"/>
    <x v="3"/>
    <x v="3"/>
    <x v="3"/>
    <x v="4"/>
  </r>
  <r>
    <s v="Вопрос128"/>
    <x v="1"/>
    <x v="2"/>
    <x v="3"/>
    <x v="0"/>
    <x v="2"/>
    <x v="2"/>
    <x v="3"/>
    <x v="4"/>
    <x v="0"/>
    <x v="2"/>
    <x v="3"/>
    <x v="2"/>
    <x v="2"/>
    <x v="3"/>
    <x v="2"/>
  </r>
  <r>
    <s v="Вопрос129"/>
    <x v="1"/>
    <x v="2"/>
    <x v="4"/>
    <x v="0"/>
    <x v="0"/>
    <x v="3"/>
    <x v="0"/>
    <x v="2"/>
    <x v="0"/>
    <x v="1"/>
    <x v="2"/>
    <x v="1"/>
    <x v="3"/>
    <x v="2"/>
    <x v="4"/>
  </r>
  <r>
    <s v="Вопрос130"/>
    <x v="1"/>
    <x v="0"/>
    <x v="2"/>
    <x v="4"/>
    <x v="3"/>
    <x v="3"/>
    <x v="4"/>
    <x v="2"/>
    <x v="0"/>
    <x v="4"/>
    <x v="2"/>
    <x v="4"/>
    <x v="4"/>
    <x v="2"/>
    <x v="2"/>
  </r>
  <r>
    <s v="Вопрос131"/>
    <x v="1"/>
    <x v="1"/>
    <x v="4"/>
    <x v="0"/>
    <x v="4"/>
    <x v="4"/>
    <x v="4"/>
    <x v="2"/>
    <x v="1"/>
    <x v="2"/>
    <x v="0"/>
    <x v="0"/>
    <x v="0"/>
    <x v="2"/>
    <x v="2"/>
  </r>
  <r>
    <s v="Вопрос132"/>
    <x v="0"/>
    <x v="0"/>
    <x v="4"/>
    <x v="0"/>
    <x v="2"/>
    <x v="0"/>
    <x v="0"/>
    <x v="2"/>
    <x v="4"/>
    <x v="0"/>
    <x v="1"/>
    <x v="2"/>
    <x v="3"/>
    <x v="2"/>
    <x v="0"/>
  </r>
  <r>
    <s v="Вопрос133"/>
    <x v="0"/>
    <x v="0"/>
    <x v="4"/>
    <x v="0"/>
    <x v="1"/>
    <x v="4"/>
    <x v="1"/>
    <x v="0"/>
    <x v="0"/>
    <x v="1"/>
    <x v="3"/>
    <x v="0"/>
    <x v="0"/>
    <x v="3"/>
    <x v="1"/>
  </r>
  <r>
    <s v="Вопрос134"/>
    <x v="0"/>
    <x v="0"/>
    <x v="0"/>
    <x v="0"/>
    <x v="4"/>
    <x v="1"/>
    <x v="2"/>
    <x v="4"/>
    <x v="2"/>
    <x v="3"/>
    <x v="1"/>
    <x v="4"/>
    <x v="0"/>
    <x v="1"/>
    <x v="3"/>
  </r>
  <r>
    <s v="Вопрос135"/>
    <x v="0"/>
    <x v="3"/>
    <x v="4"/>
    <x v="2"/>
    <x v="2"/>
    <x v="0"/>
    <x v="1"/>
    <x v="1"/>
    <x v="4"/>
    <x v="0"/>
    <x v="3"/>
    <x v="0"/>
    <x v="0"/>
    <x v="3"/>
    <x v="0"/>
  </r>
  <r>
    <s v="Вопрос136"/>
    <x v="1"/>
    <x v="1"/>
    <x v="2"/>
    <x v="0"/>
    <x v="3"/>
    <x v="3"/>
    <x v="4"/>
    <x v="2"/>
    <x v="0"/>
    <x v="1"/>
    <x v="2"/>
    <x v="4"/>
    <x v="4"/>
    <x v="3"/>
    <x v="4"/>
  </r>
  <r>
    <s v="Вопрос137"/>
    <x v="1"/>
    <x v="3"/>
    <x v="4"/>
    <x v="0"/>
    <x v="4"/>
    <x v="4"/>
    <x v="4"/>
    <x v="2"/>
    <x v="1"/>
    <x v="2"/>
    <x v="0"/>
    <x v="0"/>
    <x v="0"/>
    <x v="3"/>
    <x v="2"/>
  </r>
  <r>
    <s v="Вопрос138"/>
    <x v="1"/>
    <x v="1"/>
    <x v="4"/>
    <x v="0"/>
    <x v="2"/>
    <x v="0"/>
    <x v="0"/>
    <x v="1"/>
    <x v="4"/>
    <x v="0"/>
    <x v="1"/>
    <x v="2"/>
    <x v="3"/>
    <x v="1"/>
    <x v="0"/>
  </r>
  <r>
    <s v="Вопрос139"/>
    <x v="1"/>
    <x v="0"/>
    <x v="4"/>
    <x v="3"/>
    <x v="1"/>
    <x v="4"/>
    <x v="1"/>
    <x v="1"/>
    <x v="0"/>
    <x v="1"/>
    <x v="3"/>
    <x v="0"/>
    <x v="1"/>
    <x v="3"/>
    <x v="1"/>
  </r>
  <r>
    <s v="Вопрос140"/>
    <x v="0"/>
    <x v="0"/>
    <x v="0"/>
    <x v="1"/>
    <x v="4"/>
    <x v="1"/>
    <x v="2"/>
    <x v="2"/>
    <x v="2"/>
    <x v="3"/>
    <x v="1"/>
    <x v="4"/>
    <x v="3"/>
    <x v="1"/>
    <x v="1"/>
  </r>
  <r>
    <s v="Вопрос141"/>
    <x v="1"/>
    <x v="2"/>
    <x v="0"/>
    <x v="2"/>
    <x v="3"/>
    <x v="3"/>
    <x v="3"/>
    <x v="1"/>
    <x v="1"/>
    <x v="2"/>
    <x v="3"/>
    <x v="1"/>
    <x v="0"/>
    <x v="3"/>
    <x v="2"/>
  </r>
  <r>
    <s v="Вопрос142"/>
    <x v="0"/>
    <x v="0"/>
    <x v="4"/>
    <x v="3"/>
    <x v="4"/>
    <x v="3"/>
    <x v="2"/>
    <x v="1"/>
    <x v="4"/>
    <x v="1"/>
    <x v="0"/>
    <x v="2"/>
    <x v="4"/>
    <x v="0"/>
    <x v="1"/>
  </r>
  <r>
    <s v="Вопрос143"/>
    <x v="1"/>
    <x v="0"/>
    <x v="4"/>
    <x v="3"/>
    <x v="0"/>
    <x v="3"/>
    <x v="4"/>
    <x v="4"/>
    <x v="0"/>
    <x v="0"/>
    <x v="4"/>
    <x v="3"/>
    <x v="0"/>
    <x v="4"/>
    <x v="0"/>
  </r>
  <r>
    <s v="Вопрос144"/>
    <x v="0"/>
    <x v="1"/>
    <x v="3"/>
    <x v="3"/>
    <x v="2"/>
    <x v="4"/>
    <x v="4"/>
    <x v="4"/>
    <x v="1"/>
    <x v="0"/>
    <x v="4"/>
    <x v="1"/>
    <x v="2"/>
    <x v="4"/>
    <x v="0"/>
  </r>
  <r>
    <s v="Вопрос145"/>
    <x v="0"/>
    <x v="2"/>
    <x v="4"/>
    <x v="1"/>
    <x v="0"/>
    <x v="3"/>
    <x v="0"/>
    <x v="2"/>
    <x v="0"/>
    <x v="4"/>
    <x v="2"/>
    <x v="3"/>
    <x v="3"/>
    <x v="2"/>
    <x v="4"/>
  </r>
  <r>
    <s v="Вопрос146"/>
    <x v="0"/>
    <x v="1"/>
    <x v="2"/>
    <x v="3"/>
    <x v="3"/>
    <x v="3"/>
    <x v="0"/>
    <x v="0"/>
    <x v="0"/>
    <x v="2"/>
    <x v="0"/>
    <x v="0"/>
    <x v="0"/>
    <x v="0"/>
    <x v="2"/>
  </r>
  <r>
    <s v="Вопрос147"/>
    <x v="0"/>
    <x v="3"/>
    <x v="4"/>
    <x v="0"/>
    <x v="2"/>
    <x v="0"/>
    <x v="1"/>
    <x v="3"/>
    <x v="4"/>
    <x v="0"/>
    <x v="3"/>
    <x v="3"/>
    <x v="3"/>
    <x v="3"/>
    <x v="2"/>
  </r>
  <r>
    <s v="Вопрос148"/>
    <x v="1"/>
    <x v="0"/>
    <x v="2"/>
    <x v="4"/>
    <x v="3"/>
    <x v="3"/>
    <x v="4"/>
    <x v="0"/>
    <x v="0"/>
    <x v="4"/>
    <x v="2"/>
    <x v="4"/>
    <x v="4"/>
    <x v="2"/>
    <x v="2"/>
  </r>
  <r>
    <s v="Вопрос149"/>
    <x v="1"/>
    <x v="1"/>
    <x v="4"/>
    <x v="0"/>
    <x v="4"/>
    <x v="4"/>
    <x v="4"/>
    <x v="2"/>
    <x v="1"/>
    <x v="2"/>
    <x v="0"/>
    <x v="0"/>
    <x v="0"/>
    <x v="2"/>
    <x v="2"/>
  </r>
  <r>
    <s v="Вопрос150"/>
    <x v="0"/>
    <x v="0"/>
    <x v="4"/>
    <x v="0"/>
    <x v="2"/>
    <x v="0"/>
    <x v="0"/>
    <x v="2"/>
    <x v="4"/>
    <x v="0"/>
    <x v="1"/>
    <x v="2"/>
    <x v="3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44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72:J7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4"/>
        <item n="Колеблюсь" x="1"/>
        <item n="Согласен" x="2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9" subtotal="count" showDataAs="percentOfCol" baseField="0" baseItem="0" numFmtId="165"/>
  </dataFields>
  <conditionalFormats count="1">
    <conditionalFormat priority="8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50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102:J10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3"/>
        <item n="Не согласен" x="1"/>
        <item n="Колеблюсь" x="2"/>
        <item n="Согласен" x="4"/>
        <item n="Полностью согласен" x="0"/>
        <item t="default"/>
      </items>
    </pivotField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2" subtotal="count" showDataAs="percentOfCol" baseField="0" baseItem="0" numFmtId="165"/>
  </dataFields>
  <conditionalFormats count="1">
    <conditionalFormat priority="11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Таблица51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112:E11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3"/>
        <item n="Не согласен" x="0"/>
        <item n="Колеблюсь" x="4"/>
        <item n="Согласен" x="2"/>
        <item n="Полностью согласен" x="1"/>
        <item t="default"/>
      </items>
    </pivotField>
    <pivotField showAll="0"/>
    <pivotField showAll="0"/>
  </pivotFields>
  <rowFields count="1">
    <field x="1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3" subtotal="count" baseField="0" baseItem="0"/>
  </dataFields>
  <pivotTableStyleInfo name="PivotStyleMedium2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СводнаяТаблица34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22:J2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axis="axisRow" dataField="1" showAll="0">
      <items count="6">
        <item n="Решительно не согласен" x="1"/>
        <item n="Не согласен" x="4"/>
        <item n="Колеблюсь" x="2"/>
        <item n="Согласен" x="0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4" subtotal="count" showDataAs="percentOfCol" baseField="0" baseItem="0" numFmtId="165"/>
  </dataFields>
  <conditionalFormats count="1">
    <conditionalFormat priority="3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СводнаяТаблица48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92:J9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2"/>
        <item n="Не согласен" x="0"/>
        <item n="Колеблюсь" x="1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1" subtotal="count" showDataAs="percentOfCol" baseField="0" baseItem="0" numFmtId="165"/>
  </dataFields>
  <conditionalFormats count="1">
    <conditionalFormat priority="10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СводнаяТаблица32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12:J1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axis="axisRow" dataField="1" showAll="0">
      <items count="6">
        <item n="Решительно не согласен" x="2"/>
        <item n="Не согласен" x="3"/>
        <item n="Колеблюсь" x="4"/>
        <item n="Согласен" x="0"/>
        <item n="Полностью согласен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3" subtotal="count" showDataAs="percentOfCol" baseField="0" baseItem="0" numFmtId="165"/>
  </dataFields>
  <conditionalFormats count="1">
    <conditionalFormat priority="2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СводнаяТаблица42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62:J6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3"/>
        <item n="Не согласен" x="0"/>
        <item n="Колеблюсь" x="2"/>
        <item n="Согласен" x="1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8" subtotal="count" showDataAs="percentOfCol" baseField="0" baseItem="0" numFmtId="165"/>
  </dataFields>
  <conditionalFormats count="1">
    <conditionalFormat priority="7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СводнаяТаблица49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102:E10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3"/>
        <item n="Не согласен" x="1"/>
        <item n="Колеблюсь" x="2"/>
        <item n="Согласен" x="4"/>
        <item n="Полностью согласен" x="0"/>
        <item t="default"/>
      </items>
    </pivotField>
    <pivotField showAll="0"/>
    <pivotField showAll="0"/>
    <pivotField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2" subtotal="count" baseField="0" baseItem="0"/>
  </dataFields>
  <pivotTableStyleInfo name="PivotStyleMedium2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СводнаяТаблица36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32:J3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Решительно не согласен" x="1"/>
        <item n="Не согласен" x="2"/>
        <item n="Колеблюсь" x="4"/>
        <item n="Согласен" x="0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5" subtotal="count" showDataAs="percentOfCol" baseField="0" baseItem="0" numFmtId="165"/>
  </dataFields>
  <conditionalFormats count="1">
    <conditionalFormat priority="4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СводнаяТаблица56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132:J13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2"/>
        <item n="Колеблюсь" x="1"/>
        <item n="Согласен" x="4"/>
        <item n="Полностью согласен" x="3"/>
        <item t="default"/>
      </items>
    </pivotField>
  </pivotFields>
  <rowFields count="1">
    <field x="1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5" subtotal="count" showDataAs="percentOfCol" baseField="0" baseItem="0" numFmtId="165"/>
  </dataFields>
  <conditionalFormats count="1">
    <conditionalFormat priority="14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СводнаяТаблица53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122:E12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2"/>
        <item n="Не согласен" x="0"/>
        <item n="Колеблюсь" x="1"/>
        <item n="Согласен" x="3"/>
        <item n="Полностью согласен" x="4"/>
        <item t="default"/>
      </items>
    </pivotField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4" subtotal="count" baseField="0" baseItem="0"/>
  </dataFields>
  <pivotTableStyleInfo name="PivotStyleMedium2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СводнаяТаблица54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122:J12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2"/>
        <item n="Не согласен" x="0"/>
        <item n="Колеблюсь" x="1"/>
        <item n="Согласен" x="3"/>
        <item n="Полностью согласен" x="4"/>
        <item t="default"/>
      </items>
    </pivotField>
    <pivotField showAll="0"/>
  </pivotFields>
  <rowFields count="1">
    <field x="1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4" subtotal="count" showDataAs="percentOfCol" baseField="0" baseItem="0" numFmtId="165"/>
  </dataFields>
  <conditionalFormats count="1">
    <conditionalFormat priority="13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СводнаяТаблица52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112:J11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Качество продукции" axis="axisRow" dataField="1" showAll="0">
      <items count="6">
        <item n="Решительно не согласен" x="3"/>
        <item n="Не согласен" x="0"/>
        <item n="Колеблюсь" x="4"/>
        <item n="Согласен" x="2"/>
        <item n="Полностью согласен" x="1"/>
        <item t="default"/>
      </items>
    </pivotField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3" subtotal="count" showDataAs="percentOfCol" baseField="0" baseItem="0" numFmtId="165"/>
  </dataFields>
  <conditionalFormats count="1">
    <conditionalFormat priority="12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4.xml><?xml version="1.0" encoding="utf-8"?>
<pivotTableDefinition xmlns="http://schemas.openxmlformats.org/spreadsheetml/2006/main" name="СводнаяТаблица38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42:J4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4"/>
        <item n="Колеблюсь" x="2"/>
        <item n="Согласен" x="1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6" subtotal="count" showDataAs="percentOfCol" baseField="0" baseItem="0" numFmtId="165"/>
  </dataFields>
  <conditionalFormats count="1">
    <conditionalFormat priority="5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5.xml><?xml version="1.0" encoding="utf-8"?>
<pivotTableDefinition xmlns="http://schemas.openxmlformats.org/spreadsheetml/2006/main" name="СводнаяТаблица30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2:J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axis="axisRow" dataField="1" showAll="0">
      <items count="6">
        <item n="Решительно не согласен" x="0"/>
        <item n="Не согласен" x="1"/>
        <item n="Колеблюсь" x="2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2" subtotal="count" showDataAs="percentOfCol" baseField="0" baseItem="0" numFmtId="165"/>
  </dataFields>
  <conditionalFormats count="1">
    <conditionalFormat priority="1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6.xml><?xml version="1.0" encoding="utf-8"?>
<pivotTableDefinition xmlns="http://schemas.openxmlformats.org/spreadsheetml/2006/main" name="СводнаяТаблица40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52:J5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1"/>
        <item n="Колеблюсь" x="2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7" subtotal="count" showDataAs="percentOfCol" baseField="0" baseItem="0" numFmtId="165"/>
  </dataFields>
  <conditionalFormats count="1">
    <conditionalFormat priority="6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17.xml><?xml version="1.0" encoding="utf-8"?>
<pivotTableDefinition xmlns="http://schemas.openxmlformats.org/spreadsheetml/2006/main" name="СводнаяТаблица37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42:E4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4"/>
        <item n="Колеблюсь" x="2"/>
        <item n="Согласен" x="1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6" subtotal="count" baseField="0" baseItem="0"/>
  </dataFields>
  <pivotTableStyleInfo name="PivotStyleMedium2" showRowHeaders="1" showColHeaders="1" showRowStripes="0" showColStripes="0" showLastColumn="1"/>
</pivotTableDefinition>
</file>

<file path=xl/pivotTables/pivotTable18.xml><?xml version="1.0" encoding="utf-8"?>
<pivotTableDefinition xmlns="http://schemas.openxmlformats.org/spreadsheetml/2006/main" name="СводнаяТаблица35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32:E3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Решительно не согласен" x="1"/>
        <item n="Не согласен" x="2"/>
        <item n="Колеблюсь" x="4"/>
        <item n="Согласен" x="0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5" subtotal="count" baseField="0" baseItem="0"/>
  </dataFields>
  <pivotTableStyleInfo name="PivotStyleMedium2" showRowHeaders="1" showColHeaders="1" showRowStripes="0" showColStripes="0" showLastColumn="1"/>
</pivotTableDefinition>
</file>

<file path=xl/pivotTables/pivotTable19.xml><?xml version="1.0" encoding="utf-8"?>
<pivotTableDefinition xmlns="http://schemas.openxmlformats.org/spreadsheetml/2006/main" name="СводнаяТаблица31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12:E1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axis="axisRow" dataField="1" showAll="0">
      <items count="6">
        <item n="Решительно не согласен" x="2"/>
        <item n="Не согласен" x="3"/>
        <item n="Колеблюсь" x="4"/>
        <item n="Согласен" x="0"/>
        <item n="Полностью согласен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3" subtotal="count" baseField="0" baseItem="0"/>
  </dataFields>
  <pivotTableStyleInfo name="PivotStyleMedium2" showRowHeaders="1" showColHeaders="1" showRowStripes="0" showColStripes="0" showLastColumn="1"/>
</pivotTableDefinition>
</file>

<file path=xl/pivotTables/pivotTable20.xml><?xml version="1.0" encoding="utf-8"?>
<pivotTableDefinition xmlns="http://schemas.openxmlformats.org/spreadsheetml/2006/main" name="СводнаяТаблица41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62:E6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3"/>
        <item n="Не согласен" x="0"/>
        <item n="Колеблюсь" x="2"/>
        <item n="Согласен" x="1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8" subtotal="count" baseField="0" baseItem="0"/>
  </dataFields>
  <pivotTableStyleInfo name="PivotStyleMedium2" showRowHeaders="1" showColHeaders="1" showRowStripes="0" showColStripes="0" showLastColumn="1"/>
</pivotTableDefinition>
</file>

<file path=xl/pivotTables/pivotTable21.xml><?xml version="1.0" encoding="utf-8"?>
<pivotTableDefinition xmlns="http://schemas.openxmlformats.org/spreadsheetml/2006/main" name="СводнаяТаблица33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22:E2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axis="axisRow" dataField="1" showAll="0">
      <items count="6">
        <item n="Решительно не согласен" x="1"/>
        <item n="Не согласен" x="4"/>
        <item n="Колеблюсь" x="2"/>
        <item n="Согласен" x="0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4" subtotal="count" baseField="0" baseItem="0"/>
  </dataFields>
  <pivotTableStyleInfo name="PivotStyleMedium2" showRowHeaders="1" showColHeaders="1" showRowStripes="0" showColStripes="0" showLastColumn="1"/>
</pivotTableDefinition>
</file>

<file path=xl/pivotTables/pivotTable22.xml><?xml version="1.0" encoding="utf-8"?>
<pivotTableDefinition xmlns="http://schemas.openxmlformats.org/spreadsheetml/2006/main" name="СводнаяТаблица47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92:E9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2"/>
        <item n="Не согласен" x="0"/>
        <item n="Колеблюсь" x="1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1" subtotal="count" baseField="0" baseItem="0"/>
  </dataFields>
  <pivotTableStyleInfo name="PivotStyleMedium2" showRowHeaders="1" showColHeaders="1" showRowStripes="0" showColStripes="0" showLastColumn="1"/>
</pivotTableDefinition>
</file>

<file path=xl/pivotTables/pivotTable23.xml><?xml version="1.0" encoding="utf-8"?>
<pivotTableDefinition xmlns="http://schemas.openxmlformats.org/spreadsheetml/2006/main" name="СводнаяТаблица45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82:E8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2"/>
        <item n="Колеблюсь" x="1"/>
        <item n="Согласен" x="4"/>
        <item n="Полностью согласен"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0" subtotal="count" baseField="0" baseItem="0"/>
  </dataFields>
  <pivotTableStyleInfo name="PivotStyleMedium2" showRowHeaders="1" showColHeaders="1" showRowStripes="0" showColStripes="0" showLastColumn="1"/>
</pivotTableDefinition>
</file>

<file path=xl/pivotTables/pivotTable24.xml><?xml version="1.0" encoding="utf-8"?>
<pivotTableDefinition xmlns="http://schemas.openxmlformats.org/spreadsheetml/2006/main" name="СводнаяТаблица43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72:E7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4"/>
        <item n="Колеблюсь" x="1"/>
        <item n="Согласен" x="2"/>
        <item n="Полностью согласен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9" subtotal="count" baseField="0" baseItem="0"/>
  </dataFields>
  <pivotTableStyleInfo name="PivotStyleMedium2" showRowHeaders="1" showColHeaders="1" showRowStripes="0" showColStripes="0" showLastColumn="1"/>
</pivotTableDefinition>
</file>

<file path=xl/pivotTables/pivotTable25.xml><?xml version="1.0" encoding="utf-8"?>
<pivotTableDefinition xmlns="http://schemas.openxmlformats.org/spreadsheetml/2006/main" name="СводнаяТаблица39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52:E5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1"/>
        <item n="Колеблюсь" x="2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7" subtotal="count" baseField="0" baseItem="0"/>
  </dataFields>
  <pivotTableStyleInfo name="PivotStyleMedium2" showRowHeaders="1" showColHeaders="1" showRowStripes="0" showColStripes="0" showLastColumn="1"/>
</pivotTableDefinition>
</file>

<file path=xl/pivotTables/pivotTable26.xml><?xml version="1.0" encoding="utf-8"?>
<pivotTableDefinition xmlns="http://schemas.openxmlformats.org/spreadsheetml/2006/main" name="СводнаяТаблица55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132:E13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2"/>
        <item n="Колеблюсь" x="1"/>
        <item n="Согласен" x="4"/>
        <item n="Полностью согласен" x="3"/>
        <item t="default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15" subtotal="count" baseField="0" baseItem="0"/>
  </dataFields>
  <pivotTableStyleInfo name="PivotStyleMedium2" showRowHeaders="1" showColHeaders="1" showRowStripes="0" showColStripes="0" showLastColumn="1"/>
</pivotTableDefinition>
</file>

<file path=xl/pivotTables/pivotTable27.xml><?xml version="1.0" encoding="utf-8"?>
<pivotTableDefinition xmlns="http://schemas.openxmlformats.org/spreadsheetml/2006/main" name="СводнаяТаблица46" cacheId="3" applyNumberFormats="0" applyBorderFormats="0" applyFontFormats="0" applyPatternFormats="0" applyAlignmentFormats="0" applyWidthHeightFormats="1" dataCaption="Значения" updatedVersion="4" minRefreshableVersion="3" showCalcMbrs="0" useAutoFormatting="1" rowGrandTotals="0" itemPrintTitles="1" createdVersion="3" indent="0" showHeaders="0" outline="1" outlineData="1" multipleFieldFilters="0">
  <location ref="F82:J88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Решительно не согласен" x="0"/>
        <item n="Не согласен" x="2"/>
        <item n="Колеблюсь" x="1"/>
        <item n="Согласен" x="4"/>
        <item n="Полностью согласен"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Процент" fld="10" subtotal="count" showDataAs="percentOfCol" baseField="0" baseItem="0" numFmtId="165"/>
  </dataFields>
  <conditionalFormats count="1">
    <conditionalFormat priority="9">
      <pivotAreas count="1">
        <pivotArea type="data" outline="0" collapsedLevelsAreSubtotals="1" fieldPosition="0">
          <references count="2">
            <reference field="4294967294" count="1" selected="0">
              <x v="0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</pivotTableDefinition>
</file>

<file path=xl/pivotTables/pivotTable28.xml><?xml version="1.0" encoding="utf-8"?>
<pivotTableDefinition xmlns="http://schemas.openxmlformats.org/spreadsheetml/2006/main" name="СводнаяТаблица29" cacheId="3" applyNumberFormats="0" applyBorderFormats="0" applyFontFormats="0" applyPatternFormats="0" applyAlignmentFormats="0" applyWidthHeightFormats="1" dataCaption="Значения" updatedVersion="4" minRefreshableVersion="3" showCalcMbrs="0" useAutoFormatting="1" itemPrintTitles="1" createdVersion="3" indent="0" showHeaders="0" outline="1" outlineData="1" multipleFieldFilters="0">
  <location ref="A2:E9" firstHeaderRow="1" firstDataRow="2" firstDataCol="1"/>
  <pivotFields count="16">
    <pivotField showAll="0"/>
    <pivotField axis="axisCol" showAll="0">
      <items count="4">
        <item x="2"/>
        <item x="1"/>
        <item x="0"/>
        <item t="default"/>
      </items>
    </pivotField>
    <pivotField axis="axisRow" dataField="1" showAll="0">
      <items count="6">
        <item n="Решительно не согласен" x="0"/>
        <item n="Не согласен" x="1"/>
        <item n="Колеблюсь" x="2"/>
        <item n="Согласен" x="3"/>
        <item n="Полностью согласен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Частота" fld="2" subtotal="count" baseField="0" baseItem="0"/>
  </dataFields>
  <pivotTableStyleInfo name="PivotStyleMedium2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39"/>
  <sheetViews>
    <sheetView tabSelected="1" workbookViewId="0">
      <selection activeCell="F112" sqref="F112"/>
    </sheetView>
  </sheetViews>
  <sheetFormatPr defaultRowHeight="14.4" x14ac:dyDescent="0.3"/>
  <cols>
    <col min="1" max="1" width="23" customWidth="1"/>
    <col min="2" max="2" width="2.44140625" customWidth="1"/>
    <col min="3" max="4" width="3" customWidth="1"/>
    <col min="5" max="5" width="11.5546875" customWidth="1"/>
    <col min="6" max="6" width="22.44140625" customWidth="1"/>
    <col min="7" max="7" width="6.88671875" customWidth="1"/>
    <col min="8" max="9" width="5.88671875" customWidth="1"/>
    <col min="10" max="10" width="11.21875" customWidth="1"/>
  </cols>
  <sheetData>
    <row r="1" spans="1:10" ht="21" x14ac:dyDescent="0.4">
      <c r="A1" s="4" t="s">
        <v>2</v>
      </c>
      <c r="F1" s="4" t="s">
        <v>2</v>
      </c>
    </row>
    <row r="2" spans="1:10" x14ac:dyDescent="0.3">
      <c r="A2" s="6" t="s">
        <v>168</v>
      </c>
      <c r="F2" s="6" t="s">
        <v>170</v>
      </c>
    </row>
    <row r="3" spans="1:10" x14ac:dyDescent="0.3">
      <c r="B3" t="s">
        <v>167</v>
      </c>
      <c r="C3" t="s">
        <v>166</v>
      </c>
      <c r="D3" t="s">
        <v>165</v>
      </c>
      <c r="E3" t="s">
        <v>169</v>
      </c>
      <c r="G3" t="s">
        <v>167</v>
      </c>
      <c r="H3" t="s">
        <v>166</v>
      </c>
      <c r="I3" t="s">
        <v>165</v>
      </c>
      <c r="J3" t="s">
        <v>169</v>
      </c>
    </row>
    <row r="4" spans="1:10" x14ac:dyDescent="0.3">
      <c r="A4" s="7" t="s">
        <v>171</v>
      </c>
      <c r="B4" s="5"/>
      <c r="C4" s="5">
        <v>28</v>
      </c>
      <c r="D4" s="5">
        <v>40</v>
      </c>
      <c r="E4" s="5">
        <v>68</v>
      </c>
      <c r="F4" s="7" t="s">
        <v>171</v>
      </c>
      <c r="G4" s="8">
        <v>0</v>
      </c>
      <c r="H4" s="8">
        <v>0.4</v>
      </c>
      <c r="I4" s="8">
        <v>0.50632911392405067</v>
      </c>
      <c r="J4" s="8">
        <v>0.45333333333333331</v>
      </c>
    </row>
    <row r="5" spans="1:10" x14ac:dyDescent="0.3">
      <c r="A5" s="7" t="s">
        <v>172</v>
      </c>
      <c r="B5" s="5">
        <v>1</v>
      </c>
      <c r="C5" s="5">
        <v>19</v>
      </c>
      <c r="D5" s="5">
        <v>16</v>
      </c>
      <c r="E5" s="5">
        <v>36</v>
      </c>
      <c r="F5" s="7" t="s">
        <v>172</v>
      </c>
      <c r="G5" s="8">
        <v>1</v>
      </c>
      <c r="H5" s="8">
        <v>0.27142857142857141</v>
      </c>
      <c r="I5" s="8">
        <v>0.20253164556962025</v>
      </c>
      <c r="J5" s="8">
        <v>0.24</v>
      </c>
    </row>
    <row r="6" spans="1:10" x14ac:dyDescent="0.3">
      <c r="A6" s="7" t="s">
        <v>173</v>
      </c>
      <c r="B6" s="5"/>
      <c r="C6" s="5">
        <v>15</v>
      </c>
      <c r="D6" s="5">
        <v>9</v>
      </c>
      <c r="E6" s="5">
        <v>24</v>
      </c>
      <c r="F6" s="7" t="s">
        <v>173</v>
      </c>
      <c r="G6" s="8">
        <v>0</v>
      </c>
      <c r="H6" s="8">
        <v>0.21428571428571427</v>
      </c>
      <c r="I6" s="8">
        <v>0.11392405063291139</v>
      </c>
      <c r="J6" s="8">
        <v>0.16</v>
      </c>
    </row>
    <row r="7" spans="1:10" x14ac:dyDescent="0.3">
      <c r="A7" s="7" t="s">
        <v>174</v>
      </c>
      <c r="B7" s="5"/>
      <c r="C7" s="5">
        <v>6</v>
      </c>
      <c r="D7" s="5">
        <v>14</v>
      </c>
      <c r="E7" s="5">
        <v>20</v>
      </c>
      <c r="F7" s="7" t="s">
        <v>174</v>
      </c>
      <c r="G7" s="8">
        <v>0</v>
      </c>
      <c r="H7" s="8">
        <v>8.5714285714285715E-2</v>
      </c>
      <c r="I7" s="8">
        <v>0.17721518987341772</v>
      </c>
      <c r="J7" s="8">
        <v>0.13333333333333333</v>
      </c>
    </row>
    <row r="8" spans="1:10" x14ac:dyDescent="0.3">
      <c r="A8" s="7" t="s">
        <v>175</v>
      </c>
      <c r="B8" s="5"/>
      <c r="C8" s="5">
        <v>2</v>
      </c>
      <c r="D8" s="5"/>
      <c r="E8" s="5">
        <v>2</v>
      </c>
      <c r="F8" s="7" t="s">
        <v>175</v>
      </c>
      <c r="G8" s="8">
        <v>0</v>
      </c>
      <c r="H8" s="8">
        <v>2.8571428571428571E-2</v>
      </c>
      <c r="I8" s="8">
        <v>0</v>
      </c>
      <c r="J8" s="8">
        <v>1.3333333333333334E-2</v>
      </c>
    </row>
    <row r="9" spans="1:10" x14ac:dyDescent="0.3">
      <c r="A9" s="7" t="s">
        <v>169</v>
      </c>
      <c r="B9" s="5">
        <v>1</v>
      </c>
      <c r="C9" s="5">
        <v>70</v>
      </c>
      <c r="D9" s="5">
        <v>79</v>
      </c>
      <c r="E9" s="5">
        <v>150</v>
      </c>
    </row>
    <row r="11" spans="1:10" ht="21" x14ac:dyDescent="0.4">
      <c r="A11" s="4" t="s">
        <v>178</v>
      </c>
      <c r="F11" s="4" t="s">
        <v>178</v>
      </c>
    </row>
    <row r="12" spans="1:10" x14ac:dyDescent="0.3">
      <c r="A12" s="6" t="s">
        <v>168</v>
      </c>
      <c r="F12" s="6" t="s">
        <v>170</v>
      </c>
    </row>
    <row r="13" spans="1:10" x14ac:dyDescent="0.3">
      <c r="B13" t="s">
        <v>167</v>
      </c>
      <c r="C13" t="s">
        <v>166</v>
      </c>
      <c r="D13" t="s">
        <v>165</v>
      </c>
      <c r="E13" t="s">
        <v>169</v>
      </c>
      <c r="G13" t="s">
        <v>167</v>
      </c>
      <c r="H13" t="s">
        <v>166</v>
      </c>
      <c r="I13" t="s">
        <v>165</v>
      </c>
      <c r="J13" t="s">
        <v>169</v>
      </c>
    </row>
    <row r="14" spans="1:10" x14ac:dyDescent="0.3">
      <c r="A14" s="7" t="s">
        <v>171</v>
      </c>
      <c r="B14" s="5"/>
      <c r="C14" s="5">
        <v>11</v>
      </c>
      <c r="D14" s="5">
        <v>13</v>
      </c>
      <c r="E14" s="5">
        <v>24</v>
      </c>
      <c r="F14" s="7" t="s">
        <v>171</v>
      </c>
      <c r="G14" s="8">
        <v>0</v>
      </c>
      <c r="H14" s="8">
        <v>0.15714285714285714</v>
      </c>
      <c r="I14" s="8">
        <v>0.16455696202531644</v>
      </c>
      <c r="J14" s="8">
        <v>0.16</v>
      </c>
    </row>
    <row r="15" spans="1:10" x14ac:dyDescent="0.3">
      <c r="A15" s="7" t="s">
        <v>172</v>
      </c>
      <c r="B15" s="5"/>
      <c r="C15" s="5">
        <v>7</v>
      </c>
      <c r="D15" s="5">
        <v>11</v>
      </c>
      <c r="E15" s="5">
        <v>18</v>
      </c>
      <c r="F15" s="7" t="s">
        <v>172</v>
      </c>
      <c r="G15" s="8">
        <v>0</v>
      </c>
      <c r="H15" s="8">
        <v>0.1</v>
      </c>
      <c r="I15" s="8">
        <v>0.13924050632911392</v>
      </c>
      <c r="J15" s="8">
        <v>0.12</v>
      </c>
    </row>
    <row r="16" spans="1:10" x14ac:dyDescent="0.3">
      <c r="A16" s="7" t="s">
        <v>173</v>
      </c>
      <c r="B16" s="5"/>
      <c r="C16" s="5">
        <v>30</v>
      </c>
      <c r="D16" s="5">
        <v>26</v>
      </c>
      <c r="E16" s="5">
        <v>56</v>
      </c>
      <c r="F16" s="7" t="s">
        <v>173</v>
      </c>
      <c r="G16" s="8">
        <v>0</v>
      </c>
      <c r="H16" s="8">
        <v>0.42857142857142855</v>
      </c>
      <c r="I16" s="8">
        <v>0.32911392405063289</v>
      </c>
      <c r="J16" s="8">
        <v>0.37333333333333335</v>
      </c>
    </row>
    <row r="17" spans="1:10" x14ac:dyDescent="0.3">
      <c r="A17" s="7" t="s">
        <v>174</v>
      </c>
      <c r="B17" s="5">
        <v>1</v>
      </c>
      <c r="C17" s="5">
        <v>19</v>
      </c>
      <c r="D17" s="5">
        <v>22</v>
      </c>
      <c r="E17" s="5">
        <v>42</v>
      </c>
      <c r="F17" s="7" t="s">
        <v>174</v>
      </c>
      <c r="G17" s="8">
        <v>1</v>
      </c>
      <c r="H17" s="8">
        <v>0.27142857142857141</v>
      </c>
      <c r="I17" s="8">
        <v>0.27848101265822783</v>
      </c>
      <c r="J17" s="8">
        <v>0.28000000000000003</v>
      </c>
    </row>
    <row r="18" spans="1:10" x14ac:dyDescent="0.3">
      <c r="A18" s="7" t="s">
        <v>175</v>
      </c>
      <c r="B18" s="5"/>
      <c r="C18" s="5">
        <v>3</v>
      </c>
      <c r="D18" s="5">
        <v>7</v>
      </c>
      <c r="E18" s="5">
        <v>10</v>
      </c>
      <c r="F18" s="7" t="s">
        <v>175</v>
      </c>
      <c r="G18" s="8">
        <v>0</v>
      </c>
      <c r="H18" s="8">
        <v>4.2857142857142858E-2</v>
      </c>
      <c r="I18" s="8">
        <v>8.8607594936708861E-2</v>
      </c>
      <c r="J18" s="8">
        <v>6.6666666666666666E-2</v>
      </c>
    </row>
    <row r="19" spans="1:10" x14ac:dyDescent="0.3">
      <c r="A19" s="7" t="s">
        <v>169</v>
      </c>
      <c r="B19" s="5">
        <v>1</v>
      </c>
      <c r="C19" s="5">
        <v>70</v>
      </c>
      <c r="D19" s="5">
        <v>79</v>
      </c>
      <c r="E19" s="5">
        <v>150</v>
      </c>
    </row>
    <row r="21" spans="1:10" ht="21" x14ac:dyDescent="0.4">
      <c r="A21" s="4" t="s">
        <v>3</v>
      </c>
      <c r="F21" s="4" t="s">
        <v>3</v>
      </c>
    </row>
    <row r="22" spans="1:10" x14ac:dyDescent="0.3">
      <c r="A22" s="6" t="s">
        <v>168</v>
      </c>
      <c r="F22" s="6" t="s">
        <v>170</v>
      </c>
    </row>
    <row r="23" spans="1:10" x14ac:dyDescent="0.3">
      <c r="B23" t="s">
        <v>167</v>
      </c>
      <c r="C23" t="s">
        <v>166</v>
      </c>
      <c r="D23" t="s">
        <v>165</v>
      </c>
      <c r="E23" t="s">
        <v>169</v>
      </c>
      <c r="G23" t="s">
        <v>167</v>
      </c>
      <c r="H23" t="s">
        <v>166</v>
      </c>
      <c r="I23" t="s">
        <v>165</v>
      </c>
      <c r="J23" t="s">
        <v>169</v>
      </c>
    </row>
    <row r="24" spans="1:10" x14ac:dyDescent="0.3">
      <c r="A24" s="7" t="s">
        <v>171</v>
      </c>
      <c r="B24" s="5"/>
      <c r="C24" s="5">
        <v>7</v>
      </c>
      <c r="D24" s="5">
        <v>14</v>
      </c>
      <c r="E24" s="5">
        <v>21</v>
      </c>
      <c r="F24" s="7" t="s">
        <v>171</v>
      </c>
      <c r="G24" s="8">
        <v>0</v>
      </c>
      <c r="H24" s="8">
        <v>0.1</v>
      </c>
      <c r="I24" s="8">
        <v>0.17721518987341772</v>
      </c>
      <c r="J24" s="8">
        <v>0.14000000000000001</v>
      </c>
    </row>
    <row r="25" spans="1:10" x14ac:dyDescent="0.3">
      <c r="A25" s="7" t="s">
        <v>172</v>
      </c>
      <c r="B25" s="5"/>
      <c r="C25" s="5">
        <v>7</v>
      </c>
      <c r="D25" s="5">
        <v>4</v>
      </c>
      <c r="E25" s="5">
        <v>11</v>
      </c>
      <c r="F25" s="7" t="s">
        <v>172</v>
      </c>
      <c r="G25" s="8">
        <v>0</v>
      </c>
      <c r="H25" s="8">
        <v>0.1</v>
      </c>
      <c r="I25" s="8">
        <v>5.0632911392405063E-2</v>
      </c>
      <c r="J25" s="8">
        <v>7.3333333333333334E-2</v>
      </c>
    </row>
    <row r="26" spans="1:10" x14ac:dyDescent="0.3">
      <c r="A26" s="7" t="s">
        <v>173</v>
      </c>
      <c r="B26" s="5"/>
      <c r="C26" s="5">
        <v>16</v>
      </c>
      <c r="D26" s="5">
        <v>14</v>
      </c>
      <c r="E26" s="5">
        <v>30</v>
      </c>
      <c r="F26" s="7" t="s">
        <v>173</v>
      </c>
      <c r="G26" s="8">
        <v>0</v>
      </c>
      <c r="H26" s="8">
        <v>0.22857142857142856</v>
      </c>
      <c r="I26" s="8">
        <v>0.17721518987341772</v>
      </c>
      <c r="J26" s="8">
        <v>0.2</v>
      </c>
    </row>
    <row r="27" spans="1:10" x14ac:dyDescent="0.3">
      <c r="A27" s="7" t="s">
        <v>174</v>
      </c>
      <c r="B27" s="5"/>
      <c r="C27" s="5">
        <v>29</v>
      </c>
      <c r="D27" s="5">
        <v>29</v>
      </c>
      <c r="E27" s="5">
        <v>58</v>
      </c>
      <c r="F27" s="7" t="s">
        <v>174</v>
      </c>
      <c r="G27" s="8">
        <v>0</v>
      </c>
      <c r="H27" s="8">
        <v>0.41428571428571431</v>
      </c>
      <c r="I27" s="8">
        <v>0.36708860759493672</v>
      </c>
      <c r="J27" s="8">
        <v>0.38666666666666666</v>
      </c>
    </row>
    <row r="28" spans="1:10" x14ac:dyDescent="0.3">
      <c r="A28" s="7" t="s">
        <v>175</v>
      </c>
      <c r="B28" s="5">
        <v>1</v>
      </c>
      <c r="C28" s="5">
        <v>11</v>
      </c>
      <c r="D28" s="5">
        <v>18</v>
      </c>
      <c r="E28" s="5">
        <v>30</v>
      </c>
      <c r="F28" s="7" t="s">
        <v>175</v>
      </c>
      <c r="G28" s="8">
        <v>1</v>
      </c>
      <c r="H28" s="8">
        <v>0.15714285714285714</v>
      </c>
      <c r="I28" s="8">
        <v>0.22784810126582278</v>
      </c>
      <c r="J28" s="8">
        <v>0.2</v>
      </c>
    </row>
    <row r="29" spans="1:10" x14ac:dyDescent="0.3">
      <c r="A29" s="7" t="s">
        <v>169</v>
      </c>
      <c r="B29" s="5">
        <v>1</v>
      </c>
      <c r="C29" s="5">
        <v>70</v>
      </c>
      <c r="D29" s="5">
        <v>79</v>
      </c>
      <c r="E29" s="5">
        <v>150</v>
      </c>
    </row>
    <row r="31" spans="1:10" ht="21" x14ac:dyDescent="0.4">
      <c r="A31" s="4" t="s">
        <v>4</v>
      </c>
      <c r="F31" s="4" t="s">
        <v>4</v>
      </c>
    </row>
    <row r="32" spans="1:10" x14ac:dyDescent="0.3">
      <c r="A32" s="6" t="s">
        <v>168</v>
      </c>
      <c r="F32" s="6" t="s">
        <v>170</v>
      </c>
    </row>
    <row r="33" spans="1:10" x14ac:dyDescent="0.3">
      <c r="B33" t="s">
        <v>167</v>
      </c>
      <c r="C33" t="s">
        <v>166</v>
      </c>
      <c r="D33" t="s">
        <v>165</v>
      </c>
      <c r="E33" t="s">
        <v>169</v>
      </c>
      <c r="G33" t="s">
        <v>167</v>
      </c>
      <c r="H33" t="s">
        <v>166</v>
      </c>
      <c r="I33" t="s">
        <v>165</v>
      </c>
      <c r="J33" t="s">
        <v>169</v>
      </c>
    </row>
    <row r="34" spans="1:10" x14ac:dyDescent="0.3">
      <c r="A34" s="7" t="s">
        <v>171</v>
      </c>
      <c r="B34" s="5"/>
      <c r="C34" s="5">
        <v>6</v>
      </c>
      <c r="D34" s="5">
        <v>8</v>
      </c>
      <c r="E34" s="5">
        <v>14</v>
      </c>
      <c r="F34" s="7" t="s">
        <v>171</v>
      </c>
      <c r="G34" s="8">
        <v>0</v>
      </c>
      <c r="H34" s="8">
        <v>8.5714285714285715E-2</v>
      </c>
      <c r="I34" s="8">
        <v>0.10126582278481013</v>
      </c>
      <c r="J34" s="8">
        <v>9.3333333333333338E-2</v>
      </c>
    </row>
    <row r="35" spans="1:10" x14ac:dyDescent="0.3">
      <c r="A35" s="7" t="s">
        <v>172</v>
      </c>
      <c r="B35" s="5"/>
      <c r="C35" s="5">
        <v>9</v>
      </c>
      <c r="D35" s="5">
        <v>28</v>
      </c>
      <c r="E35" s="5">
        <v>37</v>
      </c>
      <c r="F35" s="7" t="s">
        <v>172</v>
      </c>
      <c r="G35" s="8">
        <v>0</v>
      </c>
      <c r="H35" s="8">
        <v>0.12857142857142856</v>
      </c>
      <c r="I35" s="8">
        <v>0.35443037974683544</v>
      </c>
      <c r="J35" s="8">
        <v>0.24666666666666667</v>
      </c>
    </row>
    <row r="36" spans="1:10" x14ac:dyDescent="0.3">
      <c r="A36" s="7" t="s">
        <v>173</v>
      </c>
      <c r="B36" s="5"/>
      <c r="C36" s="5">
        <v>14</v>
      </c>
      <c r="D36" s="5">
        <v>22</v>
      </c>
      <c r="E36" s="5">
        <v>36</v>
      </c>
      <c r="F36" s="7" t="s">
        <v>173</v>
      </c>
      <c r="G36" s="8">
        <v>0</v>
      </c>
      <c r="H36" s="8">
        <v>0.2</v>
      </c>
      <c r="I36" s="8">
        <v>0.27848101265822783</v>
      </c>
      <c r="J36" s="8">
        <v>0.24</v>
      </c>
    </row>
    <row r="37" spans="1:10" x14ac:dyDescent="0.3">
      <c r="A37" s="7" t="s">
        <v>174</v>
      </c>
      <c r="B37" s="5">
        <v>1</v>
      </c>
      <c r="C37" s="5">
        <v>15</v>
      </c>
      <c r="D37" s="5">
        <v>9</v>
      </c>
      <c r="E37" s="5">
        <v>25</v>
      </c>
      <c r="F37" s="7" t="s">
        <v>174</v>
      </c>
      <c r="G37" s="8">
        <v>1</v>
      </c>
      <c r="H37" s="8">
        <v>0.21428571428571427</v>
      </c>
      <c r="I37" s="8">
        <v>0.11392405063291139</v>
      </c>
      <c r="J37" s="8">
        <v>0.16666666666666666</v>
      </c>
    </row>
    <row r="38" spans="1:10" x14ac:dyDescent="0.3">
      <c r="A38" s="7" t="s">
        <v>175</v>
      </c>
      <c r="B38" s="5"/>
      <c r="C38" s="5">
        <v>26</v>
      </c>
      <c r="D38" s="5">
        <v>12</v>
      </c>
      <c r="E38" s="5">
        <v>38</v>
      </c>
      <c r="F38" s="7" t="s">
        <v>175</v>
      </c>
      <c r="G38" s="8">
        <v>0</v>
      </c>
      <c r="H38" s="8">
        <v>0.37142857142857144</v>
      </c>
      <c r="I38" s="8">
        <v>0.15189873417721519</v>
      </c>
      <c r="J38" s="8">
        <v>0.25333333333333335</v>
      </c>
    </row>
    <row r="39" spans="1:10" x14ac:dyDescent="0.3">
      <c r="A39" s="7" t="s">
        <v>169</v>
      </c>
      <c r="B39" s="5">
        <v>1</v>
      </c>
      <c r="C39" s="5">
        <v>70</v>
      </c>
      <c r="D39" s="5">
        <v>79</v>
      </c>
      <c r="E39" s="5">
        <v>150</v>
      </c>
    </row>
    <row r="41" spans="1:10" ht="21" x14ac:dyDescent="0.4">
      <c r="A41" s="4" t="s">
        <v>5</v>
      </c>
      <c r="F41" s="4" t="s">
        <v>5</v>
      </c>
    </row>
    <row r="42" spans="1:10" x14ac:dyDescent="0.3">
      <c r="A42" s="6" t="s">
        <v>168</v>
      </c>
      <c r="F42" s="6" t="s">
        <v>170</v>
      </c>
    </row>
    <row r="43" spans="1:10" x14ac:dyDescent="0.3">
      <c r="B43" t="s">
        <v>167</v>
      </c>
      <c r="C43" t="s">
        <v>166</v>
      </c>
      <c r="D43" t="s">
        <v>165</v>
      </c>
      <c r="E43" t="s">
        <v>169</v>
      </c>
      <c r="G43" t="s">
        <v>167</v>
      </c>
      <c r="H43" t="s">
        <v>166</v>
      </c>
      <c r="I43" t="s">
        <v>165</v>
      </c>
      <c r="J43" t="s">
        <v>169</v>
      </c>
    </row>
    <row r="44" spans="1:10" x14ac:dyDescent="0.3">
      <c r="A44" s="7" t="s">
        <v>171</v>
      </c>
      <c r="B44" s="5"/>
      <c r="C44" s="5">
        <v>7</v>
      </c>
      <c r="D44" s="5">
        <v>22</v>
      </c>
      <c r="E44" s="5">
        <v>29</v>
      </c>
      <c r="F44" s="7" t="s">
        <v>171</v>
      </c>
      <c r="G44" s="8">
        <v>0</v>
      </c>
      <c r="H44" s="8">
        <v>0.1</v>
      </c>
      <c r="I44" s="8">
        <v>0.27848101265822783</v>
      </c>
      <c r="J44" s="8">
        <v>0.19333333333333333</v>
      </c>
    </row>
    <row r="45" spans="1:10" x14ac:dyDescent="0.3">
      <c r="A45" s="7" t="s">
        <v>172</v>
      </c>
      <c r="B45" s="5"/>
      <c r="C45" s="5">
        <v>16</v>
      </c>
      <c r="D45" s="5">
        <v>16</v>
      </c>
      <c r="E45" s="5">
        <v>32</v>
      </c>
      <c r="F45" s="7" t="s">
        <v>172</v>
      </c>
      <c r="G45" s="8">
        <v>0</v>
      </c>
      <c r="H45" s="8">
        <v>0.22857142857142856</v>
      </c>
      <c r="I45" s="8">
        <v>0.20253164556962025</v>
      </c>
      <c r="J45" s="8">
        <v>0.21333333333333335</v>
      </c>
    </row>
    <row r="46" spans="1:10" x14ac:dyDescent="0.3">
      <c r="A46" s="7" t="s">
        <v>173</v>
      </c>
      <c r="B46" s="5"/>
      <c r="C46" s="5">
        <v>3</v>
      </c>
      <c r="D46" s="5">
        <v>3</v>
      </c>
      <c r="E46" s="5">
        <v>6</v>
      </c>
      <c r="F46" s="7" t="s">
        <v>173</v>
      </c>
      <c r="G46" s="8">
        <v>0</v>
      </c>
      <c r="H46" s="8">
        <v>4.2857142857142858E-2</v>
      </c>
      <c r="I46" s="8">
        <v>3.7974683544303799E-2</v>
      </c>
      <c r="J46" s="8">
        <v>0.04</v>
      </c>
    </row>
    <row r="47" spans="1:10" x14ac:dyDescent="0.3">
      <c r="A47" s="7" t="s">
        <v>174</v>
      </c>
      <c r="B47" s="5"/>
      <c r="C47" s="5">
        <v>7</v>
      </c>
      <c r="D47" s="5">
        <v>11</v>
      </c>
      <c r="E47" s="5">
        <v>18</v>
      </c>
      <c r="F47" s="7" t="s">
        <v>174</v>
      </c>
      <c r="G47" s="8">
        <v>0</v>
      </c>
      <c r="H47" s="8">
        <v>0.1</v>
      </c>
      <c r="I47" s="8">
        <v>0.13924050632911392</v>
      </c>
      <c r="J47" s="8">
        <v>0.12</v>
      </c>
    </row>
    <row r="48" spans="1:10" x14ac:dyDescent="0.3">
      <c r="A48" s="7" t="s">
        <v>175</v>
      </c>
      <c r="B48" s="5">
        <v>1</v>
      </c>
      <c r="C48" s="5">
        <v>37</v>
      </c>
      <c r="D48" s="5">
        <v>27</v>
      </c>
      <c r="E48" s="5">
        <v>65</v>
      </c>
      <c r="F48" s="7" t="s">
        <v>175</v>
      </c>
      <c r="G48" s="8">
        <v>1</v>
      </c>
      <c r="H48" s="8">
        <v>0.52857142857142858</v>
      </c>
      <c r="I48" s="8">
        <v>0.34177215189873417</v>
      </c>
      <c r="J48" s="8">
        <v>0.43333333333333335</v>
      </c>
    </row>
    <row r="49" spans="1:10" x14ac:dyDescent="0.3">
      <c r="A49" s="7" t="s">
        <v>169</v>
      </c>
      <c r="B49" s="5">
        <v>1</v>
      </c>
      <c r="C49" s="5">
        <v>70</v>
      </c>
      <c r="D49" s="5">
        <v>79</v>
      </c>
      <c r="E49" s="5">
        <v>150</v>
      </c>
    </row>
    <row r="51" spans="1:10" ht="21" x14ac:dyDescent="0.4">
      <c r="A51" s="4" t="s">
        <v>6</v>
      </c>
      <c r="F51" s="4" t="s">
        <v>6</v>
      </c>
    </row>
    <row r="52" spans="1:10" x14ac:dyDescent="0.3">
      <c r="A52" s="6" t="s">
        <v>168</v>
      </c>
      <c r="F52" s="6" t="s">
        <v>170</v>
      </c>
    </row>
    <row r="53" spans="1:10" x14ac:dyDescent="0.3">
      <c r="B53" t="s">
        <v>167</v>
      </c>
      <c r="C53" t="s">
        <v>166</v>
      </c>
      <c r="D53" t="s">
        <v>165</v>
      </c>
      <c r="E53" t="s">
        <v>169</v>
      </c>
      <c r="G53" t="s">
        <v>167</v>
      </c>
      <c r="H53" t="s">
        <v>166</v>
      </c>
      <c r="I53" t="s">
        <v>165</v>
      </c>
      <c r="J53" t="s">
        <v>169</v>
      </c>
    </row>
    <row r="54" spans="1:10" x14ac:dyDescent="0.3">
      <c r="A54" s="7" t="s">
        <v>171</v>
      </c>
      <c r="B54" s="5"/>
      <c r="C54" s="5">
        <v>13</v>
      </c>
      <c r="D54" s="5">
        <v>25</v>
      </c>
      <c r="E54" s="5">
        <v>38</v>
      </c>
      <c r="F54" s="7" t="s">
        <v>171</v>
      </c>
      <c r="G54" s="8">
        <v>0</v>
      </c>
      <c r="H54" s="8">
        <v>0.18571428571428572</v>
      </c>
      <c r="I54" s="8">
        <v>0.31645569620253167</v>
      </c>
      <c r="J54" s="8">
        <v>0.25333333333333335</v>
      </c>
    </row>
    <row r="55" spans="1:10" x14ac:dyDescent="0.3">
      <c r="A55" s="7" t="s">
        <v>172</v>
      </c>
      <c r="B55" s="5"/>
      <c r="C55" s="5">
        <v>11</v>
      </c>
      <c r="D55" s="5">
        <v>17</v>
      </c>
      <c r="E55" s="5">
        <v>28</v>
      </c>
      <c r="F55" s="7" t="s">
        <v>172</v>
      </c>
      <c r="G55" s="8">
        <v>0</v>
      </c>
      <c r="H55" s="8">
        <v>0.15714285714285714</v>
      </c>
      <c r="I55" s="8">
        <v>0.21518987341772153</v>
      </c>
      <c r="J55" s="8">
        <v>0.18666666666666668</v>
      </c>
    </row>
    <row r="56" spans="1:10" x14ac:dyDescent="0.3">
      <c r="A56" s="7" t="s">
        <v>173</v>
      </c>
      <c r="B56" s="5">
        <v>1</v>
      </c>
      <c r="C56" s="5">
        <v>2</v>
      </c>
      <c r="D56" s="5">
        <v>23</v>
      </c>
      <c r="E56" s="5">
        <v>26</v>
      </c>
      <c r="F56" s="7" t="s">
        <v>173</v>
      </c>
      <c r="G56" s="8">
        <v>1</v>
      </c>
      <c r="H56" s="8">
        <v>2.8571428571428571E-2</v>
      </c>
      <c r="I56" s="8">
        <v>0.29113924050632911</v>
      </c>
      <c r="J56" s="8">
        <v>0.17333333333333334</v>
      </c>
    </row>
    <row r="57" spans="1:10" x14ac:dyDescent="0.3">
      <c r="A57" s="7" t="s">
        <v>174</v>
      </c>
      <c r="B57" s="5"/>
      <c r="C57" s="5">
        <v>14</v>
      </c>
      <c r="D57" s="5">
        <v>3</v>
      </c>
      <c r="E57" s="5">
        <v>17</v>
      </c>
      <c r="F57" s="7" t="s">
        <v>174</v>
      </c>
      <c r="G57" s="8">
        <v>0</v>
      </c>
      <c r="H57" s="8">
        <v>0.2</v>
      </c>
      <c r="I57" s="8">
        <v>3.7974683544303799E-2</v>
      </c>
      <c r="J57" s="8">
        <v>0.11333333333333333</v>
      </c>
    </row>
    <row r="58" spans="1:10" x14ac:dyDescent="0.3">
      <c r="A58" s="7" t="s">
        <v>175</v>
      </c>
      <c r="B58" s="5"/>
      <c r="C58" s="5">
        <v>30</v>
      </c>
      <c r="D58" s="5">
        <v>11</v>
      </c>
      <c r="E58" s="5">
        <v>41</v>
      </c>
      <c r="F58" s="7" t="s">
        <v>175</v>
      </c>
      <c r="G58" s="8">
        <v>0</v>
      </c>
      <c r="H58" s="8">
        <v>0.42857142857142855</v>
      </c>
      <c r="I58" s="8">
        <v>0.13924050632911392</v>
      </c>
      <c r="J58" s="8">
        <v>0.27333333333333332</v>
      </c>
    </row>
    <row r="59" spans="1:10" x14ac:dyDescent="0.3">
      <c r="A59" s="7" t="s">
        <v>169</v>
      </c>
      <c r="B59" s="5">
        <v>1</v>
      </c>
      <c r="C59" s="5">
        <v>70</v>
      </c>
      <c r="D59" s="5">
        <v>79</v>
      </c>
      <c r="E59" s="5">
        <v>150</v>
      </c>
    </row>
    <row r="61" spans="1:10" ht="21" x14ac:dyDescent="0.4">
      <c r="A61" s="4" t="s">
        <v>7</v>
      </c>
      <c r="F61" s="4" t="s">
        <v>7</v>
      </c>
    </row>
    <row r="62" spans="1:10" x14ac:dyDescent="0.3">
      <c r="A62" s="6" t="s">
        <v>168</v>
      </c>
      <c r="F62" s="6" t="s">
        <v>170</v>
      </c>
    </row>
    <row r="63" spans="1:10" x14ac:dyDescent="0.3">
      <c r="B63" t="s">
        <v>167</v>
      </c>
      <c r="C63" t="s">
        <v>166</v>
      </c>
      <c r="D63" t="s">
        <v>165</v>
      </c>
      <c r="E63" t="s">
        <v>169</v>
      </c>
      <c r="G63" t="s">
        <v>167</v>
      </c>
      <c r="H63" t="s">
        <v>166</v>
      </c>
      <c r="I63" t="s">
        <v>165</v>
      </c>
      <c r="J63" t="s">
        <v>169</v>
      </c>
    </row>
    <row r="64" spans="1:10" x14ac:dyDescent="0.3">
      <c r="A64" s="7" t="s">
        <v>171</v>
      </c>
      <c r="B64" s="5"/>
      <c r="C64" s="5">
        <v>2</v>
      </c>
      <c r="D64" s="5">
        <v>6</v>
      </c>
      <c r="E64" s="5">
        <v>8</v>
      </c>
      <c r="F64" s="7" t="s">
        <v>171</v>
      </c>
      <c r="G64" s="8">
        <v>0</v>
      </c>
      <c r="H64" s="8">
        <v>2.8571428571428571E-2</v>
      </c>
      <c r="I64" s="8">
        <v>7.5949367088607597E-2</v>
      </c>
      <c r="J64" s="8">
        <v>5.3333333333333337E-2</v>
      </c>
    </row>
    <row r="65" spans="1:10" x14ac:dyDescent="0.3">
      <c r="A65" s="7" t="s">
        <v>172</v>
      </c>
      <c r="B65" s="5">
        <v>1</v>
      </c>
      <c r="C65" s="5">
        <v>2</v>
      </c>
      <c r="D65" s="5">
        <v>15</v>
      </c>
      <c r="E65" s="5">
        <v>18</v>
      </c>
      <c r="F65" s="7" t="s">
        <v>172</v>
      </c>
      <c r="G65" s="8">
        <v>1</v>
      </c>
      <c r="H65" s="8">
        <v>2.8571428571428571E-2</v>
      </c>
      <c r="I65" s="8">
        <v>0.189873417721519</v>
      </c>
      <c r="J65" s="8">
        <v>0.12</v>
      </c>
    </row>
    <row r="66" spans="1:10" x14ac:dyDescent="0.3">
      <c r="A66" s="7" t="s">
        <v>173</v>
      </c>
      <c r="B66" s="5"/>
      <c r="C66" s="5">
        <v>28</v>
      </c>
      <c r="D66" s="5">
        <v>17</v>
      </c>
      <c r="E66" s="5">
        <v>45</v>
      </c>
      <c r="F66" s="7" t="s">
        <v>173</v>
      </c>
      <c r="G66" s="8">
        <v>0</v>
      </c>
      <c r="H66" s="8">
        <v>0.4</v>
      </c>
      <c r="I66" s="8">
        <v>0.21518987341772153</v>
      </c>
      <c r="J66" s="8">
        <v>0.3</v>
      </c>
    </row>
    <row r="67" spans="1:10" x14ac:dyDescent="0.3">
      <c r="A67" s="7" t="s">
        <v>174</v>
      </c>
      <c r="B67" s="5"/>
      <c r="C67" s="5">
        <v>26</v>
      </c>
      <c r="D67" s="5">
        <v>25</v>
      </c>
      <c r="E67" s="5">
        <v>51</v>
      </c>
      <c r="F67" s="7" t="s">
        <v>174</v>
      </c>
      <c r="G67" s="8">
        <v>0</v>
      </c>
      <c r="H67" s="8">
        <v>0.37142857142857144</v>
      </c>
      <c r="I67" s="8">
        <v>0.31645569620253167</v>
      </c>
      <c r="J67" s="8">
        <v>0.34</v>
      </c>
    </row>
    <row r="68" spans="1:10" x14ac:dyDescent="0.3">
      <c r="A68" s="7" t="s">
        <v>175</v>
      </c>
      <c r="B68" s="5"/>
      <c r="C68" s="5">
        <v>12</v>
      </c>
      <c r="D68" s="5">
        <v>16</v>
      </c>
      <c r="E68" s="5">
        <v>28</v>
      </c>
      <c r="F68" s="7" t="s">
        <v>175</v>
      </c>
      <c r="G68" s="8">
        <v>0</v>
      </c>
      <c r="H68" s="8">
        <v>0.17142857142857143</v>
      </c>
      <c r="I68" s="8">
        <v>0.20253164556962025</v>
      </c>
      <c r="J68" s="8">
        <v>0.18666666666666668</v>
      </c>
    </row>
    <row r="69" spans="1:10" x14ac:dyDescent="0.3">
      <c r="A69" s="7" t="s">
        <v>169</v>
      </c>
      <c r="B69" s="5">
        <v>1</v>
      </c>
      <c r="C69" s="5">
        <v>70</v>
      </c>
      <c r="D69" s="5">
        <v>79</v>
      </c>
      <c r="E69" s="5">
        <v>150</v>
      </c>
    </row>
    <row r="71" spans="1:10" ht="21" x14ac:dyDescent="0.4">
      <c r="A71" s="4" t="s">
        <v>8</v>
      </c>
      <c r="F71" s="4" t="s">
        <v>8</v>
      </c>
    </row>
    <row r="72" spans="1:10" x14ac:dyDescent="0.3">
      <c r="A72" s="6" t="s">
        <v>168</v>
      </c>
      <c r="F72" s="6" t="s">
        <v>170</v>
      </c>
    </row>
    <row r="73" spans="1:10" x14ac:dyDescent="0.3">
      <c r="B73" t="s">
        <v>167</v>
      </c>
      <c r="C73" t="s">
        <v>166</v>
      </c>
      <c r="D73" t="s">
        <v>165</v>
      </c>
      <c r="E73" t="s">
        <v>169</v>
      </c>
      <c r="G73" t="s">
        <v>167</v>
      </c>
      <c r="H73" t="s">
        <v>166</v>
      </c>
      <c r="I73" t="s">
        <v>165</v>
      </c>
      <c r="J73" t="s">
        <v>169</v>
      </c>
    </row>
    <row r="74" spans="1:10" x14ac:dyDescent="0.3">
      <c r="A74" s="7" t="s">
        <v>171</v>
      </c>
      <c r="B74" s="5"/>
      <c r="C74" s="5">
        <v>33</v>
      </c>
      <c r="D74" s="5">
        <v>27</v>
      </c>
      <c r="E74" s="5">
        <v>60</v>
      </c>
      <c r="F74" s="7" t="s">
        <v>171</v>
      </c>
      <c r="G74" s="8">
        <v>0</v>
      </c>
      <c r="H74" s="8">
        <v>0.47142857142857142</v>
      </c>
      <c r="I74" s="8">
        <v>0.34177215189873417</v>
      </c>
      <c r="J74" s="8">
        <v>0.4</v>
      </c>
    </row>
    <row r="75" spans="1:10" x14ac:dyDescent="0.3">
      <c r="A75" s="7" t="s">
        <v>172</v>
      </c>
      <c r="B75" s="5"/>
      <c r="C75" s="5">
        <v>7</v>
      </c>
      <c r="D75" s="5">
        <v>24</v>
      </c>
      <c r="E75" s="5">
        <v>31</v>
      </c>
      <c r="F75" s="7" t="s">
        <v>172</v>
      </c>
      <c r="G75" s="8">
        <v>0</v>
      </c>
      <c r="H75" s="8">
        <v>0.1</v>
      </c>
      <c r="I75" s="8">
        <v>0.30379746835443039</v>
      </c>
      <c r="J75" s="8">
        <v>0.20666666666666667</v>
      </c>
    </row>
    <row r="76" spans="1:10" x14ac:dyDescent="0.3">
      <c r="A76" s="7" t="s">
        <v>173</v>
      </c>
      <c r="B76" s="5"/>
      <c r="C76" s="5">
        <v>22</v>
      </c>
      <c r="D76" s="5">
        <v>10</v>
      </c>
      <c r="E76" s="5">
        <v>32</v>
      </c>
      <c r="F76" s="7" t="s">
        <v>173</v>
      </c>
      <c r="G76" s="8">
        <v>0</v>
      </c>
      <c r="H76" s="8">
        <v>0.31428571428571428</v>
      </c>
      <c r="I76" s="8">
        <v>0.12658227848101267</v>
      </c>
      <c r="J76" s="8">
        <v>0.21333333333333335</v>
      </c>
    </row>
    <row r="77" spans="1:10" x14ac:dyDescent="0.3">
      <c r="A77" s="7" t="s">
        <v>174</v>
      </c>
      <c r="B77" s="5"/>
      <c r="C77" s="5">
        <v>3</v>
      </c>
      <c r="D77" s="5">
        <v>15</v>
      </c>
      <c r="E77" s="5">
        <v>18</v>
      </c>
      <c r="F77" s="7" t="s">
        <v>174</v>
      </c>
      <c r="G77" s="8">
        <v>0</v>
      </c>
      <c r="H77" s="8">
        <v>4.2857142857142858E-2</v>
      </c>
      <c r="I77" s="8">
        <v>0.189873417721519</v>
      </c>
      <c r="J77" s="8">
        <v>0.12</v>
      </c>
    </row>
    <row r="78" spans="1:10" x14ac:dyDescent="0.3">
      <c r="A78" s="7" t="s">
        <v>175</v>
      </c>
      <c r="B78" s="5">
        <v>1</v>
      </c>
      <c r="C78" s="5">
        <v>5</v>
      </c>
      <c r="D78" s="5">
        <v>3</v>
      </c>
      <c r="E78" s="5">
        <v>9</v>
      </c>
      <c r="F78" s="7" t="s">
        <v>175</v>
      </c>
      <c r="G78" s="8">
        <v>1</v>
      </c>
      <c r="H78" s="8">
        <v>7.1428571428571425E-2</v>
      </c>
      <c r="I78" s="8">
        <v>3.7974683544303799E-2</v>
      </c>
      <c r="J78" s="8">
        <v>0.06</v>
      </c>
    </row>
    <row r="79" spans="1:10" x14ac:dyDescent="0.3">
      <c r="A79" s="7" t="s">
        <v>169</v>
      </c>
      <c r="B79" s="5">
        <v>1</v>
      </c>
      <c r="C79" s="5">
        <v>70</v>
      </c>
      <c r="D79" s="5">
        <v>79</v>
      </c>
      <c r="E79" s="5">
        <v>150</v>
      </c>
    </row>
    <row r="81" spans="1:10" ht="21" x14ac:dyDescent="0.4">
      <c r="A81" s="4" t="s">
        <v>9</v>
      </c>
      <c r="F81" s="4" t="s">
        <v>9</v>
      </c>
    </row>
    <row r="82" spans="1:10" x14ac:dyDescent="0.3">
      <c r="A82" s="6" t="s">
        <v>168</v>
      </c>
      <c r="F82" s="6" t="s">
        <v>170</v>
      </c>
    </row>
    <row r="83" spans="1:10" x14ac:dyDescent="0.3">
      <c r="B83" t="s">
        <v>167</v>
      </c>
      <c r="C83" t="s">
        <v>166</v>
      </c>
      <c r="D83" t="s">
        <v>165</v>
      </c>
      <c r="E83" t="s">
        <v>169</v>
      </c>
      <c r="G83" t="s">
        <v>167</v>
      </c>
      <c r="H83" t="s">
        <v>166</v>
      </c>
      <c r="I83" t="s">
        <v>165</v>
      </c>
      <c r="J83" t="s">
        <v>169</v>
      </c>
    </row>
    <row r="84" spans="1:10" x14ac:dyDescent="0.3">
      <c r="A84" s="7" t="s">
        <v>171</v>
      </c>
      <c r="B84" s="5"/>
      <c r="C84" s="5">
        <v>13</v>
      </c>
      <c r="D84" s="5">
        <v>28</v>
      </c>
      <c r="E84" s="5">
        <v>41</v>
      </c>
      <c r="F84" s="7" t="s">
        <v>171</v>
      </c>
      <c r="G84" s="8">
        <v>0</v>
      </c>
      <c r="H84" s="8">
        <v>0.18571428571428572</v>
      </c>
      <c r="I84" s="8">
        <v>0.35443037974683544</v>
      </c>
      <c r="J84" s="8">
        <v>0.27333333333333332</v>
      </c>
    </row>
    <row r="85" spans="1:10" x14ac:dyDescent="0.3">
      <c r="A85" s="7" t="s">
        <v>172</v>
      </c>
      <c r="B85" s="5"/>
      <c r="C85" s="5">
        <v>24</v>
      </c>
      <c r="D85" s="5">
        <v>14</v>
      </c>
      <c r="E85" s="5">
        <v>38</v>
      </c>
      <c r="F85" s="7" t="s">
        <v>172</v>
      </c>
      <c r="G85" s="8">
        <v>0</v>
      </c>
      <c r="H85" s="8">
        <v>0.34285714285714286</v>
      </c>
      <c r="I85" s="8">
        <v>0.17721518987341772</v>
      </c>
      <c r="J85" s="8">
        <v>0.25333333333333335</v>
      </c>
    </row>
    <row r="86" spans="1:10" x14ac:dyDescent="0.3">
      <c r="A86" s="7" t="s">
        <v>173</v>
      </c>
      <c r="B86" s="5"/>
      <c r="C86" s="5">
        <v>9</v>
      </c>
      <c r="D86" s="5">
        <v>15</v>
      </c>
      <c r="E86" s="5">
        <v>24</v>
      </c>
      <c r="F86" s="7" t="s">
        <v>173</v>
      </c>
      <c r="G86" s="8">
        <v>0</v>
      </c>
      <c r="H86" s="8">
        <v>0.12857142857142856</v>
      </c>
      <c r="I86" s="8">
        <v>0.189873417721519</v>
      </c>
      <c r="J86" s="8">
        <v>0.16</v>
      </c>
    </row>
    <row r="87" spans="1:10" x14ac:dyDescent="0.3">
      <c r="A87" s="7" t="s">
        <v>174</v>
      </c>
      <c r="B87" s="5">
        <v>1</v>
      </c>
      <c r="C87" s="5">
        <v>18</v>
      </c>
      <c r="D87" s="5">
        <v>11</v>
      </c>
      <c r="E87" s="5">
        <v>30</v>
      </c>
      <c r="F87" s="7" t="s">
        <v>174</v>
      </c>
      <c r="G87" s="8">
        <v>1</v>
      </c>
      <c r="H87" s="8">
        <v>0.25714285714285712</v>
      </c>
      <c r="I87" s="8">
        <v>0.13924050632911392</v>
      </c>
      <c r="J87" s="8">
        <v>0.2</v>
      </c>
    </row>
    <row r="88" spans="1:10" x14ac:dyDescent="0.3">
      <c r="A88" s="7" t="s">
        <v>175</v>
      </c>
      <c r="B88" s="5"/>
      <c r="C88" s="5">
        <v>6</v>
      </c>
      <c r="D88" s="5">
        <v>11</v>
      </c>
      <c r="E88" s="5">
        <v>17</v>
      </c>
      <c r="F88" s="7" t="s">
        <v>175</v>
      </c>
      <c r="G88" s="8">
        <v>0</v>
      </c>
      <c r="H88" s="8">
        <v>8.5714285714285715E-2</v>
      </c>
      <c r="I88" s="8">
        <v>0.13924050632911392</v>
      </c>
      <c r="J88" s="8">
        <v>0.11333333333333333</v>
      </c>
    </row>
    <row r="89" spans="1:10" x14ac:dyDescent="0.3">
      <c r="A89" s="7" t="s">
        <v>169</v>
      </c>
      <c r="B89" s="5">
        <v>1</v>
      </c>
      <c r="C89" s="5">
        <v>70</v>
      </c>
      <c r="D89" s="5">
        <v>79</v>
      </c>
      <c r="E89" s="5">
        <v>150</v>
      </c>
    </row>
    <row r="91" spans="1:10" ht="21" x14ac:dyDescent="0.4">
      <c r="A91" s="4" t="s">
        <v>176</v>
      </c>
      <c r="F91" s="4" t="s">
        <v>176</v>
      </c>
    </row>
    <row r="92" spans="1:10" x14ac:dyDescent="0.3">
      <c r="A92" s="6" t="s">
        <v>168</v>
      </c>
      <c r="F92" s="6" t="s">
        <v>170</v>
      </c>
    </row>
    <row r="93" spans="1:10" x14ac:dyDescent="0.3">
      <c r="B93" t="s">
        <v>167</v>
      </c>
      <c r="C93" t="s">
        <v>166</v>
      </c>
      <c r="D93" t="s">
        <v>165</v>
      </c>
      <c r="E93" t="s">
        <v>169</v>
      </c>
      <c r="G93" t="s">
        <v>167</v>
      </c>
      <c r="H93" t="s">
        <v>166</v>
      </c>
      <c r="I93" t="s">
        <v>165</v>
      </c>
      <c r="J93" t="s">
        <v>169</v>
      </c>
    </row>
    <row r="94" spans="1:10" x14ac:dyDescent="0.3">
      <c r="A94" s="7" t="s">
        <v>171</v>
      </c>
      <c r="B94" s="5"/>
      <c r="C94" s="5">
        <v>18</v>
      </c>
      <c r="D94" s="5">
        <v>7</v>
      </c>
      <c r="E94" s="5">
        <v>25</v>
      </c>
      <c r="F94" s="7" t="s">
        <v>171</v>
      </c>
      <c r="G94" s="8">
        <v>0</v>
      </c>
      <c r="H94" s="8">
        <v>0.25714285714285712</v>
      </c>
      <c r="I94" s="8">
        <v>8.8607594936708861E-2</v>
      </c>
      <c r="J94" s="8">
        <v>0.16666666666666666</v>
      </c>
    </row>
    <row r="95" spans="1:10" x14ac:dyDescent="0.3">
      <c r="A95" s="7" t="s">
        <v>172</v>
      </c>
      <c r="B95" s="5"/>
      <c r="C95" s="5">
        <v>18</v>
      </c>
      <c r="D95" s="5">
        <v>21</v>
      </c>
      <c r="E95" s="5">
        <v>39</v>
      </c>
      <c r="F95" s="7" t="s">
        <v>172</v>
      </c>
      <c r="G95" s="8">
        <v>0</v>
      </c>
      <c r="H95" s="8">
        <v>0.25714285714285712</v>
      </c>
      <c r="I95" s="8">
        <v>0.26582278481012656</v>
      </c>
      <c r="J95" s="8">
        <v>0.26</v>
      </c>
    </row>
    <row r="96" spans="1:10" x14ac:dyDescent="0.3">
      <c r="A96" s="7" t="s">
        <v>173</v>
      </c>
      <c r="B96" s="5"/>
      <c r="C96" s="5">
        <v>6</v>
      </c>
      <c r="D96" s="5">
        <v>19</v>
      </c>
      <c r="E96" s="5">
        <v>25</v>
      </c>
      <c r="F96" s="7" t="s">
        <v>173</v>
      </c>
      <c r="G96" s="8">
        <v>0</v>
      </c>
      <c r="H96" s="8">
        <v>8.5714285714285715E-2</v>
      </c>
      <c r="I96" s="8">
        <v>0.24050632911392406</v>
      </c>
      <c r="J96" s="8">
        <v>0.16666666666666666</v>
      </c>
    </row>
    <row r="97" spans="1:10" x14ac:dyDescent="0.3">
      <c r="A97" s="7" t="s">
        <v>174</v>
      </c>
      <c r="B97" s="5">
        <v>1</v>
      </c>
      <c r="C97" s="5">
        <v>20</v>
      </c>
      <c r="D97" s="5">
        <v>22</v>
      </c>
      <c r="E97" s="5">
        <v>43</v>
      </c>
      <c r="F97" s="7" t="s">
        <v>174</v>
      </c>
      <c r="G97" s="8">
        <v>1</v>
      </c>
      <c r="H97" s="8">
        <v>0.2857142857142857</v>
      </c>
      <c r="I97" s="8">
        <v>0.27848101265822783</v>
      </c>
      <c r="J97" s="8">
        <v>0.28666666666666668</v>
      </c>
    </row>
    <row r="98" spans="1:10" x14ac:dyDescent="0.3">
      <c r="A98" s="7" t="s">
        <v>175</v>
      </c>
      <c r="B98" s="5"/>
      <c r="C98" s="5">
        <v>8</v>
      </c>
      <c r="D98" s="5">
        <v>10</v>
      </c>
      <c r="E98" s="5">
        <v>18</v>
      </c>
      <c r="F98" s="7" t="s">
        <v>175</v>
      </c>
      <c r="G98" s="8">
        <v>0</v>
      </c>
      <c r="H98" s="8">
        <v>0.11428571428571428</v>
      </c>
      <c r="I98" s="8">
        <v>0.12658227848101267</v>
      </c>
      <c r="J98" s="8">
        <v>0.12</v>
      </c>
    </row>
    <row r="99" spans="1:10" x14ac:dyDescent="0.3">
      <c r="A99" s="7" t="s">
        <v>169</v>
      </c>
      <c r="B99" s="5">
        <v>1</v>
      </c>
      <c r="C99" s="5">
        <v>70</v>
      </c>
      <c r="D99" s="5">
        <v>79</v>
      </c>
      <c r="E99" s="5">
        <v>150</v>
      </c>
    </row>
    <row r="101" spans="1:10" ht="21" x14ac:dyDescent="0.4">
      <c r="A101" s="4" t="s">
        <v>10</v>
      </c>
      <c r="F101" s="4" t="s">
        <v>10</v>
      </c>
    </row>
    <row r="102" spans="1:10" x14ac:dyDescent="0.3">
      <c r="A102" s="6" t="s">
        <v>168</v>
      </c>
      <c r="F102" s="6" t="s">
        <v>170</v>
      </c>
    </row>
    <row r="103" spans="1:10" x14ac:dyDescent="0.3">
      <c r="B103" t="s">
        <v>167</v>
      </c>
      <c r="C103" t="s">
        <v>166</v>
      </c>
      <c r="D103" t="s">
        <v>165</v>
      </c>
      <c r="E103" t="s">
        <v>169</v>
      </c>
      <c r="G103" t="s">
        <v>167</v>
      </c>
      <c r="H103" t="s">
        <v>166</v>
      </c>
      <c r="I103" t="s">
        <v>165</v>
      </c>
      <c r="J103" t="s">
        <v>169</v>
      </c>
    </row>
    <row r="104" spans="1:10" x14ac:dyDescent="0.3">
      <c r="A104" s="7" t="s">
        <v>171</v>
      </c>
      <c r="B104" s="5">
        <v>1</v>
      </c>
      <c r="C104" s="5">
        <v>2</v>
      </c>
      <c r="D104" s="5">
        <v>5</v>
      </c>
      <c r="E104" s="5">
        <v>8</v>
      </c>
      <c r="F104" s="7" t="s">
        <v>171</v>
      </c>
      <c r="G104" s="8">
        <v>1</v>
      </c>
      <c r="H104" s="8">
        <v>2.8571428571428571E-2</v>
      </c>
      <c r="I104" s="8">
        <v>6.3291139240506333E-2</v>
      </c>
      <c r="J104" s="8">
        <v>5.3333333333333337E-2</v>
      </c>
    </row>
    <row r="105" spans="1:10" x14ac:dyDescent="0.3">
      <c r="A105" s="7" t="s">
        <v>172</v>
      </c>
      <c r="B105" s="5"/>
      <c r="C105" s="5">
        <v>22</v>
      </c>
      <c r="D105" s="5">
        <v>17</v>
      </c>
      <c r="E105" s="5">
        <v>39</v>
      </c>
      <c r="F105" s="7" t="s">
        <v>172</v>
      </c>
      <c r="G105" s="8">
        <v>0</v>
      </c>
      <c r="H105" s="8">
        <v>0.31428571428571428</v>
      </c>
      <c r="I105" s="8">
        <v>0.21518987341772153</v>
      </c>
      <c r="J105" s="8">
        <v>0.26</v>
      </c>
    </row>
    <row r="106" spans="1:10" x14ac:dyDescent="0.3">
      <c r="A106" s="7" t="s">
        <v>173</v>
      </c>
      <c r="B106" s="5"/>
      <c r="C106" s="5">
        <v>19</v>
      </c>
      <c r="D106" s="5">
        <v>16</v>
      </c>
      <c r="E106" s="5">
        <v>35</v>
      </c>
      <c r="F106" s="7" t="s">
        <v>173</v>
      </c>
      <c r="G106" s="8">
        <v>0</v>
      </c>
      <c r="H106" s="8">
        <v>0.27142857142857141</v>
      </c>
      <c r="I106" s="8">
        <v>0.20253164556962025</v>
      </c>
      <c r="J106" s="8">
        <v>0.23333333333333334</v>
      </c>
    </row>
    <row r="107" spans="1:10" x14ac:dyDescent="0.3">
      <c r="A107" s="7" t="s">
        <v>174</v>
      </c>
      <c r="B107" s="5"/>
      <c r="C107" s="5">
        <v>12</v>
      </c>
      <c r="D107" s="5">
        <v>21</v>
      </c>
      <c r="E107" s="5">
        <v>33</v>
      </c>
      <c r="F107" s="7" t="s">
        <v>174</v>
      </c>
      <c r="G107" s="8">
        <v>0</v>
      </c>
      <c r="H107" s="8">
        <v>0.17142857142857143</v>
      </c>
      <c r="I107" s="8">
        <v>0.26582278481012656</v>
      </c>
      <c r="J107" s="8">
        <v>0.22</v>
      </c>
    </row>
    <row r="108" spans="1:10" x14ac:dyDescent="0.3">
      <c r="A108" s="7" t="s">
        <v>175</v>
      </c>
      <c r="B108" s="5"/>
      <c r="C108" s="5">
        <v>15</v>
      </c>
      <c r="D108" s="5">
        <v>20</v>
      </c>
      <c r="E108" s="5">
        <v>35</v>
      </c>
      <c r="F108" s="7" t="s">
        <v>175</v>
      </c>
      <c r="G108" s="8">
        <v>0</v>
      </c>
      <c r="H108" s="8">
        <v>0.21428571428571427</v>
      </c>
      <c r="I108" s="8">
        <v>0.25316455696202533</v>
      </c>
      <c r="J108" s="8">
        <v>0.23333333333333334</v>
      </c>
    </row>
    <row r="109" spans="1:10" x14ac:dyDescent="0.3">
      <c r="A109" s="7" t="s">
        <v>169</v>
      </c>
      <c r="B109" s="5">
        <v>1</v>
      </c>
      <c r="C109" s="5">
        <v>70</v>
      </c>
      <c r="D109" s="5">
        <v>79</v>
      </c>
      <c r="E109" s="5">
        <v>150</v>
      </c>
    </row>
    <row r="111" spans="1:10" ht="21" x14ac:dyDescent="0.4">
      <c r="A111" s="4" t="s">
        <v>179</v>
      </c>
      <c r="F111" s="4" t="s">
        <v>179</v>
      </c>
    </row>
    <row r="112" spans="1:10" x14ac:dyDescent="0.3">
      <c r="A112" s="6" t="s">
        <v>168</v>
      </c>
      <c r="F112" s="6" t="s">
        <v>170</v>
      </c>
    </row>
    <row r="113" spans="1:10" x14ac:dyDescent="0.3">
      <c r="B113" t="s">
        <v>167</v>
      </c>
      <c r="C113" t="s">
        <v>166</v>
      </c>
      <c r="D113" t="s">
        <v>165</v>
      </c>
      <c r="E113" t="s">
        <v>169</v>
      </c>
      <c r="G113" t="s">
        <v>167</v>
      </c>
      <c r="H113" t="s">
        <v>166</v>
      </c>
      <c r="I113" t="s">
        <v>165</v>
      </c>
      <c r="J113" t="s">
        <v>169</v>
      </c>
    </row>
    <row r="114" spans="1:10" x14ac:dyDescent="0.3">
      <c r="A114" s="7" t="s">
        <v>171</v>
      </c>
      <c r="B114" s="5"/>
      <c r="C114" s="5">
        <v>17</v>
      </c>
      <c r="D114" s="5">
        <v>28</v>
      </c>
      <c r="E114" s="5">
        <v>45</v>
      </c>
      <c r="F114" s="7" t="s">
        <v>171</v>
      </c>
      <c r="G114" s="8">
        <v>0</v>
      </c>
      <c r="H114" s="8">
        <v>0.24285714285714285</v>
      </c>
      <c r="I114" s="8">
        <v>0.35443037974683544</v>
      </c>
      <c r="J114" s="8">
        <v>0.3</v>
      </c>
    </row>
    <row r="115" spans="1:10" x14ac:dyDescent="0.3">
      <c r="A115" s="7" t="s">
        <v>172</v>
      </c>
      <c r="B115" s="5"/>
      <c r="C115" s="5">
        <v>25</v>
      </c>
      <c r="D115" s="5">
        <v>29</v>
      </c>
      <c r="E115" s="5">
        <v>54</v>
      </c>
      <c r="F115" s="7" t="s">
        <v>172</v>
      </c>
      <c r="G115" s="8">
        <v>0</v>
      </c>
      <c r="H115" s="8">
        <v>0.35714285714285715</v>
      </c>
      <c r="I115" s="8">
        <v>0.36708860759493672</v>
      </c>
      <c r="J115" s="8">
        <v>0.36</v>
      </c>
    </row>
    <row r="116" spans="1:10" x14ac:dyDescent="0.3">
      <c r="A116" s="7" t="s">
        <v>173</v>
      </c>
      <c r="B116" s="5"/>
      <c r="C116" s="5">
        <v>11</v>
      </c>
      <c r="D116" s="5">
        <v>9</v>
      </c>
      <c r="E116" s="5">
        <v>20</v>
      </c>
      <c r="F116" s="7" t="s">
        <v>173</v>
      </c>
      <c r="G116" s="8">
        <v>0</v>
      </c>
      <c r="H116" s="8">
        <v>0.15714285714285714</v>
      </c>
      <c r="I116" s="8">
        <v>0.11392405063291139</v>
      </c>
      <c r="J116" s="8">
        <v>0.13333333333333333</v>
      </c>
    </row>
    <row r="117" spans="1:10" x14ac:dyDescent="0.3">
      <c r="A117" s="7" t="s">
        <v>174</v>
      </c>
      <c r="B117" s="5"/>
      <c r="C117" s="5">
        <v>9</v>
      </c>
      <c r="D117" s="5">
        <v>13</v>
      </c>
      <c r="E117" s="5">
        <v>22</v>
      </c>
      <c r="F117" s="7" t="s">
        <v>174</v>
      </c>
      <c r="G117" s="8">
        <v>0</v>
      </c>
      <c r="H117" s="8">
        <v>0.12857142857142856</v>
      </c>
      <c r="I117" s="8">
        <v>0.16455696202531644</v>
      </c>
      <c r="J117" s="8">
        <v>0.14666666666666667</v>
      </c>
    </row>
    <row r="118" spans="1:10" x14ac:dyDescent="0.3">
      <c r="A118" s="7" t="s">
        <v>175</v>
      </c>
      <c r="B118" s="5">
        <v>1</v>
      </c>
      <c r="C118" s="5">
        <v>8</v>
      </c>
      <c r="D118" s="5"/>
      <c r="E118" s="5">
        <v>9</v>
      </c>
      <c r="F118" s="7" t="s">
        <v>175</v>
      </c>
      <c r="G118" s="8">
        <v>1</v>
      </c>
      <c r="H118" s="8">
        <v>0.11428571428571428</v>
      </c>
      <c r="I118" s="8">
        <v>0</v>
      </c>
      <c r="J118" s="8">
        <v>0.06</v>
      </c>
    </row>
    <row r="119" spans="1:10" x14ac:dyDescent="0.3">
      <c r="A119" s="7" t="s">
        <v>169</v>
      </c>
      <c r="B119" s="5">
        <v>1</v>
      </c>
      <c r="C119" s="5">
        <v>70</v>
      </c>
      <c r="D119" s="5">
        <v>79</v>
      </c>
      <c r="E119" s="5">
        <v>150</v>
      </c>
    </row>
    <row r="121" spans="1:10" ht="21" x14ac:dyDescent="0.4">
      <c r="A121" s="4" t="s">
        <v>177</v>
      </c>
      <c r="F121" s="4" t="s">
        <v>177</v>
      </c>
    </row>
    <row r="122" spans="1:10" x14ac:dyDescent="0.3">
      <c r="A122" s="6" t="s">
        <v>168</v>
      </c>
      <c r="F122" s="6" t="s">
        <v>170</v>
      </c>
    </row>
    <row r="123" spans="1:10" x14ac:dyDescent="0.3">
      <c r="B123" t="s">
        <v>167</v>
      </c>
      <c r="C123" t="s">
        <v>166</v>
      </c>
      <c r="D123" t="s">
        <v>165</v>
      </c>
      <c r="E123" t="s">
        <v>169</v>
      </c>
      <c r="G123" t="s">
        <v>167</v>
      </c>
      <c r="H123" t="s">
        <v>166</v>
      </c>
      <c r="I123" t="s">
        <v>165</v>
      </c>
      <c r="J123" t="s">
        <v>169</v>
      </c>
    </row>
    <row r="124" spans="1:10" x14ac:dyDescent="0.3">
      <c r="A124" s="7" t="s">
        <v>171</v>
      </c>
      <c r="B124" s="5"/>
      <c r="C124" s="5">
        <v>20</v>
      </c>
      <c r="D124" s="5">
        <v>14</v>
      </c>
      <c r="E124" s="5">
        <v>34</v>
      </c>
      <c r="F124" s="7" t="s">
        <v>171</v>
      </c>
      <c r="G124" s="8">
        <v>0</v>
      </c>
      <c r="H124" s="8">
        <v>0.2857142857142857</v>
      </c>
      <c r="I124" s="8">
        <v>0.17721518987341772</v>
      </c>
      <c r="J124" s="8">
        <v>0.22666666666666666</v>
      </c>
    </row>
    <row r="125" spans="1:10" x14ac:dyDescent="0.3">
      <c r="A125" s="7" t="s">
        <v>172</v>
      </c>
      <c r="B125" s="5"/>
      <c r="C125" s="5">
        <v>8</v>
      </c>
      <c r="D125" s="5">
        <v>21</v>
      </c>
      <c r="E125" s="5">
        <v>29</v>
      </c>
      <c r="F125" s="7" t="s">
        <v>172</v>
      </c>
      <c r="G125" s="8">
        <v>0</v>
      </c>
      <c r="H125" s="8">
        <v>0.11428571428571428</v>
      </c>
      <c r="I125" s="8">
        <v>0.26582278481012656</v>
      </c>
      <c r="J125" s="8">
        <v>0.19333333333333333</v>
      </c>
    </row>
    <row r="126" spans="1:10" x14ac:dyDescent="0.3">
      <c r="A126" s="7" t="s">
        <v>173</v>
      </c>
      <c r="B126" s="5"/>
      <c r="C126" s="5">
        <v>6</v>
      </c>
      <c r="D126" s="5">
        <v>12</v>
      </c>
      <c r="E126" s="5">
        <v>18</v>
      </c>
      <c r="F126" s="7" t="s">
        <v>173</v>
      </c>
      <c r="G126" s="8">
        <v>0</v>
      </c>
      <c r="H126" s="8">
        <v>8.5714285714285715E-2</v>
      </c>
      <c r="I126" s="8">
        <v>0.15189873417721519</v>
      </c>
      <c r="J126" s="8">
        <v>0.12</v>
      </c>
    </row>
    <row r="127" spans="1:10" x14ac:dyDescent="0.3">
      <c r="A127" s="7" t="s">
        <v>174</v>
      </c>
      <c r="B127" s="5">
        <v>1</v>
      </c>
      <c r="C127" s="5">
        <v>28</v>
      </c>
      <c r="D127" s="5">
        <v>22</v>
      </c>
      <c r="E127" s="5">
        <v>51</v>
      </c>
      <c r="F127" s="7" t="s">
        <v>174</v>
      </c>
      <c r="G127" s="8">
        <v>1</v>
      </c>
      <c r="H127" s="8">
        <v>0.4</v>
      </c>
      <c r="I127" s="8">
        <v>0.27848101265822783</v>
      </c>
      <c r="J127" s="8">
        <v>0.34</v>
      </c>
    </row>
    <row r="128" spans="1:10" x14ac:dyDescent="0.3">
      <c r="A128" s="7" t="s">
        <v>175</v>
      </c>
      <c r="B128" s="5"/>
      <c r="C128" s="5">
        <v>8</v>
      </c>
      <c r="D128" s="5">
        <v>10</v>
      </c>
      <c r="E128" s="5">
        <v>18</v>
      </c>
      <c r="F128" s="7" t="s">
        <v>175</v>
      </c>
      <c r="G128" s="8">
        <v>0</v>
      </c>
      <c r="H128" s="8">
        <v>0.11428571428571428</v>
      </c>
      <c r="I128" s="8">
        <v>0.12658227848101267</v>
      </c>
      <c r="J128" s="8">
        <v>0.12</v>
      </c>
    </row>
    <row r="129" spans="1:10" x14ac:dyDescent="0.3">
      <c r="A129" s="7" t="s">
        <v>169</v>
      </c>
      <c r="B129" s="5">
        <v>1</v>
      </c>
      <c r="C129" s="5">
        <v>70</v>
      </c>
      <c r="D129" s="5">
        <v>79</v>
      </c>
      <c r="E129" s="5">
        <v>150</v>
      </c>
    </row>
    <row r="131" spans="1:10" ht="21" x14ac:dyDescent="0.4">
      <c r="A131" s="4" t="s">
        <v>11</v>
      </c>
      <c r="F131" s="4" t="s">
        <v>11</v>
      </c>
    </row>
    <row r="132" spans="1:10" x14ac:dyDescent="0.3">
      <c r="A132" s="6" t="s">
        <v>168</v>
      </c>
      <c r="F132" s="6" t="s">
        <v>170</v>
      </c>
    </row>
    <row r="133" spans="1:10" x14ac:dyDescent="0.3">
      <c r="B133" t="s">
        <v>167</v>
      </c>
      <c r="C133" t="s">
        <v>166</v>
      </c>
      <c r="D133" t="s">
        <v>165</v>
      </c>
      <c r="E133" t="s">
        <v>169</v>
      </c>
      <c r="G133" t="s">
        <v>167</v>
      </c>
      <c r="H133" t="s">
        <v>166</v>
      </c>
      <c r="I133" t="s">
        <v>165</v>
      </c>
      <c r="J133" t="s">
        <v>169</v>
      </c>
    </row>
    <row r="134" spans="1:10" x14ac:dyDescent="0.3">
      <c r="A134" s="7" t="s">
        <v>171</v>
      </c>
      <c r="B134" s="5"/>
      <c r="C134" s="5">
        <v>13</v>
      </c>
      <c r="D134" s="5">
        <v>24</v>
      </c>
      <c r="E134" s="5">
        <v>37</v>
      </c>
      <c r="F134" s="7" t="s">
        <v>171</v>
      </c>
      <c r="G134" s="8">
        <v>0</v>
      </c>
      <c r="H134" s="8">
        <v>0.18571428571428572</v>
      </c>
      <c r="I134" s="8">
        <v>0.30379746835443039</v>
      </c>
      <c r="J134" s="8">
        <v>0.24666666666666667</v>
      </c>
    </row>
    <row r="135" spans="1:10" x14ac:dyDescent="0.3">
      <c r="A135" s="7" t="s">
        <v>172</v>
      </c>
      <c r="B135" s="5"/>
      <c r="C135" s="5">
        <v>30</v>
      </c>
      <c r="D135" s="5">
        <v>18</v>
      </c>
      <c r="E135" s="5">
        <v>48</v>
      </c>
      <c r="F135" s="7" t="s">
        <v>172</v>
      </c>
      <c r="G135" s="8">
        <v>0</v>
      </c>
      <c r="H135" s="8">
        <v>0.42857142857142855</v>
      </c>
      <c r="I135" s="8">
        <v>0.22784810126582278</v>
      </c>
      <c r="J135" s="8">
        <v>0.32</v>
      </c>
    </row>
    <row r="136" spans="1:10" x14ac:dyDescent="0.3">
      <c r="A136" s="7" t="s">
        <v>173</v>
      </c>
      <c r="B136" s="5"/>
      <c r="C136" s="5">
        <v>6</v>
      </c>
      <c r="D136" s="5">
        <v>19</v>
      </c>
      <c r="E136" s="5">
        <v>25</v>
      </c>
      <c r="F136" s="7" t="s">
        <v>173</v>
      </c>
      <c r="G136" s="8">
        <v>0</v>
      </c>
      <c r="H136" s="8">
        <v>8.5714285714285715E-2</v>
      </c>
      <c r="I136" s="8">
        <v>0.24050632911392406</v>
      </c>
      <c r="J136" s="8">
        <v>0.16666666666666666</v>
      </c>
    </row>
    <row r="137" spans="1:10" x14ac:dyDescent="0.3">
      <c r="A137" s="7" t="s">
        <v>174</v>
      </c>
      <c r="B137" s="5">
        <v>1</v>
      </c>
      <c r="C137" s="5">
        <v>14</v>
      </c>
      <c r="D137" s="5">
        <v>11</v>
      </c>
      <c r="E137" s="5">
        <v>26</v>
      </c>
      <c r="F137" s="7" t="s">
        <v>174</v>
      </c>
      <c r="G137" s="8">
        <v>1</v>
      </c>
      <c r="H137" s="8">
        <v>0.2</v>
      </c>
      <c r="I137" s="8">
        <v>0.13924050632911392</v>
      </c>
      <c r="J137" s="8">
        <v>0.17333333333333334</v>
      </c>
    </row>
    <row r="138" spans="1:10" x14ac:dyDescent="0.3">
      <c r="A138" s="7" t="s">
        <v>175</v>
      </c>
      <c r="B138" s="5"/>
      <c r="C138" s="5">
        <v>7</v>
      </c>
      <c r="D138" s="5">
        <v>7</v>
      </c>
      <c r="E138" s="5">
        <v>14</v>
      </c>
      <c r="F138" s="7" t="s">
        <v>175</v>
      </c>
      <c r="G138" s="8">
        <v>0</v>
      </c>
      <c r="H138" s="8">
        <v>0.1</v>
      </c>
      <c r="I138" s="8">
        <v>8.8607594936708861E-2</v>
      </c>
      <c r="J138" s="8">
        <v>9.3333333333333338E-2</v>
      </c>
    </row>
    <row r="139" spans="1:10" x14ac:dyDescent="0.3">
      <c r="A139" s="7" t="s">
        <v>169</v>
      </c>
      <c r="B139" s="5">
        <v>1</v>
      </c>
      <c r="C139" s="5">
        <v>70</v>
      </c>
      <c r="D139" s="5">
        <v>79</v>
      </c>
      <c r="E139" s="5">
        <v>150</v>
      </c>
    </row>
  </sheetData>
  <conditionalFormatting pivot="1" sqref="I4:I8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{E91EBED2-0090-4218-8820-1E96C71CFDA3}</x14:id>
        </ext>
      </extLst>
    </cfRule>
  </conditionalFormatting>
  <conditionalFormatting pivot="1" sqref="I14:I18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{13293A83-3311-4403-883A-02A6298F48A0}</x14:id>
        </ext>
      </extLst>
    </cfRule>
  </conditionalFormatting>
  <conditionalFormatting pivot="1" sqref="I24:I28">
    <cfRule type="dataBar" priority="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{08A76BAF-0523-46D9-B06E-D0AA588A946C}</x14:id>
        </ext>
      </extLst>
    </cfRule>
  </conditionalFormatting>
  <conditionalFormatting pivot="1" sqref="I34:I38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{CEB92AB8-192B-40E5-A035-4B9AF7729D68}</x14:id>
        </ext>
      </extLst>
    </cfRule>
  </conditionalFormatting>
  <conditionalFormatting pivot="1" sqref="I44:I48">
    <cfRule type="dataBar" priority="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{57257670-6E5D-44F6-9012-596294334C27}</x14:id>
        </ext>
      </extLst>
    </cfRule>
  </conditionalFormatting>
  <conditionalFormatting pivot="1" sqref="I54:I58">
    <cfRule type="dataBar" priority="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{78E11687-3C39-4B11-A9AE-A24B67518338}</x14:id>
        </ext>
      </extLst>
    </cfRule>
  </conditionalFormatting>
  <conditionalFormatting pivot="1" sqref="I64:I68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{0334C275-B71C-4F2D-9253-28B28009CEDF}</x14:id>
        </ext>
      </extLst>
    </cfRule>
  </conditionalFormatting>
  <conditionalFormatting pivot="1" sqref="I74:I78">
    <cfRule type="dataBar" priority="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{6F47AF6E-FC38-4C3A-B213-7BEAFFEF8CAA}</x14:id>
        </ext>
      </extLst>
    </cfRule>
  </conditionalFormatting>
  <conditionalFormatting pivot="1" sqref="I84:I88">
    <cfRule type="dataBar" priority="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{5A2E6C83-4C7B-4AFB-B7FB-56D95EC4813B}</x14:id>
        </ext>
      </extLst>
    </cfRule>
  </conditionalFormatting>
  <conditionalFormatting pivot="1" sqref="I94:I98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{0792073E-3465-492F-A524-39EFBDC00B72}</x14:id>
        </ext>
      </extLst>
    </cfRule>
  </conditionalFormatting>
  <conditionalFormatting pivot="1" sqref="I104:I108">
    <cfRule type="dataBar" priority="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{BDDA6A84-97D0-427E-BCD9-6C201A856562}</x14:id>
        </ext>
      </extLst>
    </cfRule>
  </conditionalFormatting>
  <conditionalFormatting pivot="1" sqref="I114:I118">
    <cfRule type="dataBar" priority="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{10D21843-3155-45BB-B25F-2F1FC40A74FA}</x14:id>
        </ext>
      </extLst>
    </cfRule>
  </conditionalFormatting>
  <conditionalFormatting pivot="1" sqref="I124:I128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{2DC8378C-9B75-4D1F-91F7-166CFC3AFA6A}</x14:id>
        </ext>
      </extLst>
    </cfRule>
  </conditionalFormatting>
  <conditionalFormatting pivot="1" sqref="I134:I138">
    <cfRule type="dataBar" priority="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{130DCC2B-0274-41D7-B20A-C9CC3A2EB624}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E91EBED2-0090-4218-8820-1E96C71CFDA3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I4:I8</xm:sqref>
        </x14:conditionalFormatting>
        <x14:conditionalFormatting xmlns:xm="http://schemas.microsoft.com/office/excel/2006/main" pivot="1">
          <x14:cfRule type="dataBar" id="{13293A83-3311-4403-883A-02A6298F48A0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I14:I18</xm:sqref>
        </x14:conditionalFormatting>
        <x14:conditionalFormatting xmlns:xm="http://schemas.microsoft.com/office/excel/2006/main" pivot="1">
          <x14:cfRule type="dataBar" id="{08A76BAF-0523-46D9-B06E-D0AA588A946C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I24:I28</xm:sqref>
        </x14:conditionalFormatting>
        <x14:conditionalFormatting xmlns:xm="http://schemas.microsoft.com/office/excel/2006/main" pivot="1">
          <x14:cfRule type="dataBar" id="{CEB92AB8-192B-40E5-A035-4B9AF7729D68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I34:I38</xm:sqref>
        </x14:conditionalFormatting>
        <x14:conditionalFormatting xmlns:xm="http://schemas.microsoft.com/office/excel/2006/main" pivot="1">
          <x14:cfRule type="dataBar" id="{57257670-6E5D-44F6-9012-596294334C27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I44:I48</xm:sqref>
        </x14:conditionalFormatting>
        <x14:conditionalFormatting xmlns:xm="http://schemas.microsoft.com/office/excel/2006/main" pivot="1">
          <x14:cfRule type="dataBar" id="{78E11687-3C39-4B11-A9AE-A24B67518338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I54:I58</xm:sqref>
        </x14:conditionalFormatting>
        <x14:conditionalFormatting xmlns:xm="http://schemas.microsoft.com/office/excel/2006/main" pivot="1">
          <x14:cfRule type="dataBar" id="{0334C275-B71C-4F2D-9253-28B28009CED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I64:I68</xm:sqref>
        </x14:conditionalFormatting>
        <x14:conditionalFormatting xmlns:xm="http://schemas.microsoft.com/office/excel/2006/main" pivot="1">
          <x14:cfRule type="dataBar" id="{6F47AF6E-FC38-4C3A-B213-7BEAFFEF8CAA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I74:I78</xm:sqref>
        </x14:conditionalFormatting>
        <x14:conditionalFormatting xmlns:xm="http://schemas.microsoft.com/office/excel/2006/main" pivot="1">
          <x14:cfRule type="dataBar" id="{5A2E6C83-4C7B-4AFB-B7FB-56D95EC4813B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I84:I88</xm:sqref>
        </x14:conditionalFormatting>
        <x14:conditionalFormatting xmlns:xm="http://schemas.microsoft.com/office/excel/2006/main" pivot="1">
          <x14:cfRule type="dataBar" id="{0792073E-3465-492F-A524-39EFBDC00B72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I94:I98</xm:sqref>
        </x14:conditionalFormatting>
        <x14:conditionalFormatting xmlns:xm="http://schemas.microsoft.com/office/excel/2006/main" pivot="1">
          <x14:cfRule type="dataBar" id="{BDDA6A84-97D0-427E-BCD9-6C201A856562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I104:I108</xm:sqref>
        </x14:conditionalFormatting>
        <x14:conditionalFormatting xmlns:xm="http://schemas.microsoft.com/office/excel/2006/main" pivot="1">
          <x14:cfRule type="dataBar" id="{10D21843-3155-45BB-B25F-2F1FC40A74FA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I114:I118</xm:sqref>
        </x14:conditionalFormatting>
        <x14:conditionalFormatting xmlns:xm="http://schemas.microsoft.com/office/excel/2006/main" pivot="1">
          <x14:cfRule type="dataBar" id="{2DC8378C-9B75-4D1F-91F7-166CFC3AFA6A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I124:I128</xm:sqref>
        </x14:conditionalFormatting>
        <x14:conditionalFormatting xmlns:xm="http://schemas.microsoft.com/office/excel/2006/main" pivot="1">
          <x14:cfRule type="dataBar" id="{130DCC2B-0274-41D7-B20A-C9CC3A2EB624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I134:I138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55"/>
  <sheetViews>
    <sheetView topLeftCell="H1" zoomScaleNormal="100" workbookViewId="0">
      <pane ySplit="1" topLeftCell="A2" activePane="bottomLeft" state="frozen"/>
      <selection pane="bottomLeft" activeCell="N2" sqref="N2"/>
    </sheetView>
  </sheetViews>
  <sheetFormatPr defaultRowHeight="14.4" x14ac:dyDescent="0.3"/>
  <cols>
    <col min="1" max="1" width="10.5546875" bestFit="1" customWidth="1"/>
    <col min="2" max="2" width="7.109375" customWidth="1"/>
    <col min="3" max="4" width="10.33203125" customWidth="1"/>
    <col min="5" max="5" width="11.109375" customWidth="1"/>
    <col min="6" max="6" width="10.33203125" customWidth="1"/>
    <col min="7" max="7" width="13.5546875" customWidth="1"/>
    <col min="8" max="8" width="11.6640625" customWidth="1"/>
    <col min="9" max="9" width="10.33203125" customWidth="1"/>
    <col min="10" max="10" width="15.88671875" customWidth="1"/>
    <col min="11" max="11" width="15.109375" customWidth="1"/>
    <col min="12" max="12" width="12.44140625" customWidth="1"/>
    <col min="13" max="13" width="17.44140625" customWidth="1"/>
    <col min="14" max="15" width="10.33203125" customWidth="1"/>
    <col min="16" max="16" width="13.88671875" customWidth="1"/>
  </cols>
  <sheetData>
    <row r="1" spans="1:16" ht="55.2" x14ac:dyDescent="0.3">
      <c r="A1" s="2" t="s">
        <v>0</v>
      </c>
      <c r="B1" s="2" t="s">
        <v>1</v>
      </c>
      <c r="C1" s="3" t="s">
        <v>2</v>
      </c>
      <c r="D1" s="3" t="s">
        <v>178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176</v>
      </c>
      <c r="M1" s="3" t="s">
        <v>10</v>
      </c>
      <c r="N1" s="3" t="s">
        <v>179</v>
      </c>
      <c r="O1" s="3" t="s">
        <v>177</v>
      </c>
      <c r="P1" s="3" t="s">
        <v>11</v>
      </c>
    </row>
    <row r="2" spans="1:16" x14ac:dyDescent="0.3">
      <c r="A2" t="s">
        <v>12</v>
      </c>
      <c r="B2" t="s">
        <v>165</v>
      </c>
      <c r="C2">
        <v>1</v>
      </c>
      <c r="D2">
        <v>4</v>
      </c>
      <c r="E2">
        <v>4</v>
      </c>
      <c r="F2">
        <v>4</v>
      </c>
      <c r="G2">
        <v>1</v>
      </c>
      <c r="H2">
        <v>1</v>
      </c>
      <c r="I2">
        <v>2</v>
      </c>
      <c r="J2">
        <v>1</v>
      </c>
      <c r="K2">
        <v>1</v>
      </c>
      <c r="L2">
        <v>2</v>
      </c>
      <c r="M2">
        <v>5</v>
      </c>
      <c r="N2">
        <v>2</v>
      </c>
      <c r="O2">
        <v>2</v>
      </c>
      <c r="P2">
        <v>1</v>
      </c>
    </row>
    <row r="3" spans="1:16" x14ac:dyDescent="0.3">
      <c r="A3" t="s">
        <v>13</v>
      </c>
      <c r="B3" t="s">
        <v>166</v>
      </c>
      <c r="C3">
        <v>2</v>
      </c>
      <c r="D3">
        <v>5</v>
      </c>
      <c r="E3">
        <v>1</v>
      </c>
      <c r="F3">
        <v>1</v>
      </c>
      <c r="G3">
        <v>4</v>
      </c>
      <c r="H3">
        <v>2</v>
      </c>
      <c r="I3">
        <v>4</v>
      </c>
      <c r="J3">
        <v>3</v>
      </c>
      <c r="K3">
        <v>3</v>
      </c>
      <c r="L3">
        <v>2</v>
      </c>
      <c r="M3">
        <v>2</v>
      </c>
      <c r="N3">
        <v>5</v>
      </c>
      <c r="O3">
        <v>2</v>
      </c>
      <c r="P3">
        <v>3</v>
      </c>
    </row>
    <row r="4" spans="1:16" x14ac:dyDescent="0.3">
      <c r="A4" t="s">
        <v>14</v>
      </c>
      <c r="B4" t="s">
        <v>165</v>
      </c>
      <c r="C4">
        <v>1</v>
      </c>
      <c r="D4">
        <v>1</v>
      </c>
      <c r="E4">
        <v>4</v>
      </c>
      <c r="F4">
        <v>2</v>
      </c>
      <c r="G4">
        <v>3</v>
      </c>
      <c r="H4">
        <v>3</v>
      </c>
      <c r="I4">
        <v>2</v>
      </c>
      <c r="J4">
        <v>1</v>
      </c>
      <c r="K4">
        <v>2</v>
      </c>
      <c r="L4">
        <v>3</v>
      </c>
      <c r="M4">
        <v>2</v>
      </c>
      <c r="N4">
        <v>4</v>
      </c>
      <c r="O4">
        <v>3</v>
      </c>
      <c r="P4">
        <v>2</v>
      </c>
    </row>
    <row r="5" spans="1:16" x14ac:dyDescent="0.3">
      <c r="A5" t="s">
        <v>15</v>
      </c>
      <c r="B5" t="s">
        <v>165</v>
      </c>
      <c r="C5">
        <v>2</v>
      </c>
      <c r="D5">
        <v>1</v>
      </c>
      <c r="E5">
        <v>3</v>
      </c>
      <c r="F5">
        <v>5</v>
      </c>
      <c r="G5">
        <v>1</v>
      </c>
      <c r="H5">
        <v>2</v>
      </c>
      <c r="I5">
        <v>3</v>
      </c>
      <c r="J5">
        <v>4</v>
      </c>
      <c r="K5">
        <v>2</v>
      </c>
      <c r="L5">
        <v>1</v>
      </c>
      <c r="M5">
        <v>3</v>
      </c>
      <c r="N5">
        <v>4</v>
      </c>
      <c r="O5">
        <v>1</v>
      </c>
      <c r="P5">
        <v>2</v>
      </c>
    </row>
    <row r="6" spans="1:16" x14ac:dyDescent="0.3">
      <c r="A6" t="s">
        <v>16</v>
      </c>
      <c r="B6" t="s">
        <v>166</v>
      </c>
      <c r="C6">
        <v>2</v>
      </c>
      <c r="D6">
        <v>2</v>
      </c>
      <c r="E6">
        <v>5</v>
      </c>
      <c r="F6">
        <v>5</v>
      </c>
      <c r="G6">
        <v>4</v>
      </c>
      <c r="H6">
        <v>2</v>
      </c>
      <c r="I6">
        <v>1</v>
      </c>
      <c r="J6">
        <v>5</v>
      </c>
      <c r="K6">
        <v>5</v>
      </c>
      <c r="L6">
        <v>2</v>
      </c>
      <c r="M6">
        <v>3</v>
      </c>
      <c r="N6">
        <v>4</v>
      </c>
      <c r="O6">
        <v>2</v>
      </c>
      <c r="P6">
        <v>5</v>
      </c>
    </row>
    <row r="7" spans="1:16" x14ac:dyDescent="0.3">
      <c r="A7" t="s">
        <v>17</v>
      </c>
      <c r="B7" t="s">
        <v>166</v>
      </c>
      <c r="C7">
        <v>2</v>
      </c>
      <c r="D7">
        <v>4</v>
      </c>
      <c r="E7">
        <v>3</v>
      </c>
      <c r="F7">
        <v>3</v>
      </c>
      <c r="G7">
        <v>1</v>
      </c>
      <c r="H7">
        <v>1</v>
      </c>
      <c r="I7">
        <v>4</v>
      </c>
      <c r="J7">
        <v>4</v>
      </c>
      <c r="K7">
        <v>4</v>
      </c>
      <c r="L7">
        <v>2</v>
      </c>
      <c r="M7">
        <v>2</v>
      </c>
      <c r="N7">
        <v>2</v>
      </c>
      <c r="O7">
        <v>2</v>
      </c>
      <c r="P7">
        <v>4</v>
      </c>
    </row>
    <row r="8" spans="1:16" x14ac:dyDescent="0.3">
      <c r="A8" t="s">
        <v>18</v>
      </c>
      <c r="B8" t="s">
        <v>167</v>
      </c>
      <c r="C8">
        <v>2</v>
      </c>
      <c r="D8">
        <v>4</v>
      </c>
      <c r="E8">
        <v>5</v>
      </c>
      <c r="F8">
        <v>4</v>
      </c>
      <c r="G8">
        <v>5</v>
      </c>
      <c r="H8">
        <v>3</v>
      </c>
      <c r="I8">
        <v>2</v>
      </c>
      <c r="J8">
        <v>5</v>
      </c>
      <c r="K8">
        <v>4</v>
      </c>
      <c r="L8">
        <v>4</v>
      </c>
      <c r="M8">
        <v>1</v>
      </c>
      <c r="N8">
        <v>5</v>
      </c>
      <c r="O8">
        <v>4</v>
      </c>
      <c r="P8">
        <v>4</v>
      </c>
    </row>
    <row r="9" spans="1:16" x14ac:dyDescent="0.3">
      <c r="A9" t="s">
        <v>19</v>
      </c>
      <c r="B9" t="s">
        <v>165</v>
      </c>
      <c r="C9">
        <v>3</v>
      </c>
      <c r="D9">
        <v>2</v>
      </c>
      <c r="E9">
        <v>1</v>
      </c>
      <c r="F9">
        <v>2</v>
      </c>
      <c r="G9">
        <v>3</v>
      </c>
      <c r="H9">
        <v>4</v>
      </c>
      <c r="I9">
        <v>3</v>
      </c>
      <c r="J9">
        <v>1</v>
      </c>
      <c r="K9">
        <v>2</v>
      </c>
      <c r="L9">
        <v>4</v>
      </c>
      <c r="M9">
        <v>3</v>
      </c>
      <c r="N9">
        <v>4</v>
      </c>
      <c r="O9">
        <v>4</v>
      </c>
      <c r="P9">
        <v>2</v>
      </c>
    </row>
    <row r="10" spans="1:16" x14ac:dyDescent="0.3">
      <c r="A10" t="s">
        <v>20</v>
      </c>
      <c r="B10" t="s">
        <v>166</v>
      </c>
      <c r="C10">
        <v>3</v>
      </c>
      <c r="D10">
        <v>4</v>
      </c>
      <c r="E10">
        <v>4</v>
      </c>
      <c r="F10">
        <v>4</v>
      </c>
      <c r="G10">
        <v>5</v>
      </c>
      <c r="H10">
        <v>1</v>
      </c>
      <c r="I10">
        <v>4</v>
      </c>
      <c r="J10">
        <v>1</v>
      </c>
      <c r="K10">
        <v>4</v>
      </c>
      <c r="L10">
        <v>1</v>
      </c>
      <c r="M10">
        <v>2</v>
      </c>
      <c r="N10">
        <v>1</v>
      </c>
      <c r="O10">
        <v>1</v>
      </c>
      <c r="P10">
        <v>4</v>
      </c>
    </row>
    <row r="11" spans="1:16" x14ac:dyDescent="0.3">
      <c r="A11" t="s">
        <v>21</v>
      </c>
      <c r="B11" t="s">
        <v>165</v>
      </c>
      <c r="C11">
        <v>2</v>
      </c>
      <c r="D11">
        <v>1</v>
      </c>
      <c r="E11">
        <v>5</v>
      </c>
      <c r="F11">
        <v>5</v>
      </c>
      <c r="G11">
        <v>5</v>
      </c>
      <c r="H11">
        <v>1</v>
      </c>
      <c r="I11">
        <v>4</v>
      </c>
      <c r="J11">
        <v>1</v>
      </c>
      <c r="K11">
        <v>2</v>
      </c>
      <c r="L11">
        <v>2</v>
      </c>
      <c r="M11">
        <v>5</v>
      </c>
      <c r="N11">
        <v>2</v>
      </c>
      <c r="O11">
        <v>2</v>
      </c>
      <c r="P11">
        <v>2</v>
      </c>
    </row>
    <row r="12" spans="1:16" x14ac:dyDescent="0.3">
      <c r="A12" t="s">
        <v>22</v>
      </c>
      <c r="B12" t="s">
        <v>165</v>
      </c>
      <c r="C12">
        <v>4</v>
      </c>
      <c r="D12">
        <v>3</v>
      </c>
      <c r="E12">
        <v>3</v>
      </c>
      <c r="F12">
        <v>2</v>
      </c>
      <c r="G12">
        <v>1</v>
      </c>
      <c r="H12">
        <v>2</v>
      </c>
      <c r="I12">
        <v>4</v>
      </c>
      <c r="J12">
        <v>2</v>
      </c>
      <c r="K12">
        <v>1</v>
      </c>
      <c r="L12">
        <v>4</v>
      </c>
      <c r="M12">
        <v>2</v>
      </c>
      <c r="N12">
        <v>2</v>
      </c>
      <c r="O12">
        <v>4</v>
      </c>
      <c r="P12">
        <v>1</v>
      </c>
    </row>
    <row r="13" spans="1:16" x14ac:dyDescent="0.3">
      <c r="A13" t="s">
        <v>23</v>
      </c>
      <c r="B13" t="s">
        <v>166</v>
      </c>
      <c r="C13">
        <v>2</v>
      </c>
      <c r="D13">
        <v>1</v>
      </c>
      <c r="E13">
        <v>4</v>
      </c>
      <c r="F13">
        <v>5</v>
      </c>
      <c r="G13">
        <v>5</v>
      </c>
      <c r="H13">
        <v>5</v>
      </c>
      <c r="I13">
        <v>3</v>
      </c>
      <c r="J13">
        <v>1</v>
      </c>
      <c r="K13">
        <v>4</v>
      </c>
      <c r="L13">
        <v>1</v>
      </c>
      <c r="M13">
        <v>2</v>
      </c>
      <c r="N13">
        <v>3</v>
      </c>
      <c r="O13">
        <v>4</v>
      </c>
      <c r="P13">
        <v>4</v>
      </c>
    </row>
    <row r="14" spans="1:16" x14ac:dyDescent="0.3">
      <c r="A14" t="s">
        <v>24</v>
      </c>
      <c r="B14" t="s">
        <v>166</v>
      </c>
      <c r="C14">
        <v>4</v>
      </c>
      <c r="D14">
        <v>3</v>
      </c>
      <c r="E14">
        <v>4</v>
      </c>
      <c r="F14">
        <v>3</v>
      </c>
      <c r="G14">
        <v>2</v>
      </c>
      <c r="H14">
        <v>5</v>
      </c>
      <c r="I14">
        <v>3</v>
      </c>
      <c r="J14">
        <v>3</v>
      </c>
      <c r="K14">
        <v>2</v>
      </c>
      <c r="L14">
        <v>2</v>
      </c>
      <c r="M14">
        <v>5</v>
      </c>
      <c r="N14">
        <v>2</v>
      </c>
      <c r="O14">
        <v>4</v>
      </c>
      <c r="P14">
        <v>2</v>
      </c>
    </row>
    <row r="15" spans="1:16" x14ac:dyDescent="0.3">
      <c r="A15" t="s">
        <v>25</v>
      </c>
      <c r="B15" t="s">
        <v>166</v>
      </c>
      <c r="C15">
        <v>2</v>
      </c>
      <c r="D15">
        <v>3</v>
      </c>
      <c r="E15">
        <v>4</v>
      </c>
      <c r="F15">
        <v>2</v>
      </c>
      <c r="G15">
        <v>1</v>
      </c>
      <c r="H15">
        <v>1</v>
      </c>
      <c r="I15">
        <v>4</v>
      </c>
      <c r="J15">
        <v>2</v>
      </c>
      <c r="K15">
        <v>1</v>
      </c>
      <c r="L15">
        <v>3</v>
      </c>
      <c r="M15">
        <v>3</v>
      </c>
      <c r="N15">
        <v>1</v>
      </c>
      <c r="O15">
        <v>3</v>
      </c>
      <c r="P15">
        <v>1</v>
      </c>
    </row>
    <row r="16" spans="1:16" x14ac:dyDescent="0.3">
      <c r="A16" t="s">
        <v>26</v>
      </c>
      <c r="B16" t="s">
        <v>166</v>
      </c>
      <c r="C16">
        <v>1</v>
      </c>
      <c r="D16">
        <v>3</v>
      </c>
      <c r="E16">
        <v>5</v>
      </c>
      <c r="F16">
        <v>1</v>
      </c>
      <c r="G16">
        <v>2</v>
      </c>
      <c r="H16">
        <v>2</v>
      </c>
      <c r="I16">
        <v>4</v>
      </c>
      <c r="J16">
        <v>1</v>
      </c>
      <c r="K16">
        <v>3</v>
      </c>
      <c r="L16">
        <v>4</v>
      </c>
      <c r="M16">
        <v>2</v>
      </c>
      <c r="N16">
        <v>5</v>
      </c>
      <c r="O16">
        <v>4</v>
      </c>
      <c r="P16">
        <v>3</v>
      </c>
    </row>
    <row r="17" spans="1:16" x14ac:dyDescent="0.3">
      <c r="A17" t="s">
        <v>27</v>
      </c>
      <c r="B17" t="s">
        <v>165</v>
      </c>
      <c r="C17">
        <v>1</v>
      </c>
      <c r="D17">
        <v>4</v>
      </c>
      <c r="E17">
        <v>1</v>
      </c>
      <c r="F17">
        <v>3</v>
      </c>
      <c r="G17">
        <v>4</v>
      </c>
      <c r="H17">
        <v>3</v>
      </c>
      <c r="I17">
        <v>4</v>
      </c>
      <c r="J17">
        <v>4</v>
      </c>
      <c r="K17">
        <v>5</v>
      </c>
      <c r="L17">
        <v>3</v>
      </c>
      <c r="M17">
        <v>4</v>
      </c>
      <c r="N17">
        <v>1</v>
      </c>
      <c r="O17">
        <v>3</v>
      </c>
      <c r="P17">
        <v>3</v>
      </c>
    </row>
    <row r="18" spans="1:16" x14ac:dyDescent="0.3">
      <c r="A18" t="s">
        <v>28</v>
      </c>
      <c r="B18" t="s">
        <v>166</v>
      </c>
      <c r="C18">
        <v>3</v>
      </c>
      <c r="D18">
        <v>4</v>
      </c>
      <c r="E18">
        <v>3</v>
      </c>
      <c r="F18">
        <v>5</v>
      </c>
      <c r="G18">
        <v>5</v>
      </c>
      <c r="H18">
        <v>4</v>
      </c>
      <c r="I18">
        <v>4</v>
      </c>
      <c r="J18">
        <v>3</v>
      </c>
      <c r="K18">
        <v>2</v>
      </c>
      <c r="L18">
        <v>4</v>
      </c>
      <c r="M18">
        <v>2</v>
      </c>
      <c r="N18">
        <v>2</v>
      </c>
      <c r="O18">
        <v>4</v>
      </c>
      <c r="P18">
        <v>2</v>
      </c>
    </row>
    <row r="19" spans="1:16" x14ac:dyDescent="0.3">
      <c r="A19" t="s">
        <v>29</v>
      </c>
      <c r="B19" t="s">
        <v>165</v>
      </c>
      <c r="C19">
        <v>1</v>
      </c>
      <c r="D19">
        <v>5</v>
      </c>
      <c r="E19">
        <v>5</v>
      </c>
      <c r="F19">
        <v>3</v>
      </c>
      <c r="G19">
        <v>5</v>
      </c>
      <c r="H19">
        <v>3</v>
      </c>
      <c r="I19">
        <v>4</v>
      </c>
      <c r="J19">
        <v>2</v>
      </c>
      <c r="K19">
        <v>3</v>
      </c>
      <c r="L19">
        <v>2</v>
      </c>
      <c r="M19">
        <v>3</v>
      </c>
      <c r="N19">
        <v>3</v>
      </c>
      <c r="O19">
        <v>2</v>
      </c>
      <c r="P19">
        <v>3</v>
      </c>
    </row>
    <row r="20" spans="1:16" x14ac:dyDescent="0.3">
      <c r="A20" t="s">
        <v>30</v>
      </c>
      <c r="B20" t="s">
        <v>166</v>
      </c>
      <c r="C20">
        <v>1</v>
      </c>
      <c r="D20">
        <v>3</v>
      </c>
      <c r="E20">
        <v>5</v>
      </c>
      <c r="F20">
        <v>4</v>
      </c>
      <c r="G20">
        <v>5</v>
      </c>
      <c r="H20">
        <v>5</v>
      </c>
      <c r="I20">
        <v>5</v>
      </c>
      <c r="J20">
        <v>1</v>
      </c>
      <c r="K20">
        <v>1</v>
      </c>
      <c r="L20">
        <v>5</v>
      </c>
      <c r="M20">
        <v>3</v>
      </c>
      <c r="N20">
        <v>2</v>
      </c>
      <c r="O20">
        <v>5</v>
      </c>
      <c r="P20">
        <v>1</v>
      </c>
    </row>
    <row r="21" spans="1:16" x14ac:dyDescent="0.3">
      <c r="A21" t="s">
        <v>31</v>
      </c>
      <c r="B21" t="s">
        <v>165</v>
      </c>
      <c r="C21">
        <v>2</v>
      </c>
      <c r="D21">
        <v>2</v>
      </c>
      <c r="E21">
        <v>5</v>
      </c>
      <c r="F21">
        <v>2</v>
      </c>
      <c r="G21">
        <v>2</v>
      </c>
      <c r="H21">
        <v>5</v>
      </c>
      <c r="I21">
        <v>5</v>
      </c>
      <c r="J21">
        <v>3</v>
      </c>
      <c r="K21">
        <v>1</v>
      </c>
      <c r="L21">
        <v>5</v>
      </c>
      <c r="M21">
        <v>2</v>
      </c>
      <c r="N21">
        <v>4</v>
      </c>
      <c r="O21">
        <v>5</v>
      </c>
      <c r="P21">
        <v>1</v>
      </c>
    </row>
    <row r="22" spans="1:16" x14ac:dyDescent="0.3">
      <c r="A22" t="s">
        <v>32</v>
      </c>
      <c r="B22" t="s">
        <v>165</v>
      </c>
      <c r="C22">
        <v>3</v>
      </c>
      <c r="D22">
        <v>4</v>
      </c>
      <c r="E22">
        <v>1</v>
      </c>
      <c r="F22">
        <v>4</v>
      </c>
      <c r="G22">
        <v>5</v>
      </c>
      <c r="H22">
        <v>1</v>
      </c>
      <c r="I22">
        <v>3</v>
      </c>
      <c r="J22">
        <v>1</v>
      </c>
      <c r="K22">
        <v>4</v>
      </c>
      <c r="L22">
        <v>1</v>
      </c>
      <c r="M22">
        <v>2</v>
      </c>
      <c r="N22">
        <v>1</v>
      </c>
      <c r="O22">
        <v>1</v>
      </c>
      <c r="P22">
        <v>4</v>
      </c>
    </row>
    <row r="23" spans="1:16" x14ac:dyDescent="0.3">
      <c r="A23" t="s">
        <v>33</v>
      </c>
      <c r="B23" t="s">
        <v>165</v>
      </c>
      <c r="C23">
        <v>2</v>
      </c>
      <c r="D23">
        <v>1</v>
      </c>
      <c r="E23">
        <v>5</v>
      </c>
      <c r="F23">
        <v>5</v>
      </c>
      <c r="G23">
        <v>5</v>
      </c>
      <c r="H23">
        <v>1</v>
      </c>
      <c r="I23">
        <v>2</v>
      </c>
      <c r="J23">
        <v>1</v>
      </c>
      <c r="K23">
        <v>2</v>
      </c>
      <c r="L23">
        <v>2</v>
      </c>
      <c r="M23">
        <v>5</v>
      </c>
      <c r="N23">
        <v>2</v>
      </c>
      <c r="O23">
        <v>2</v>
      </c>
      <c r="P23">
        <v>2</v>
      </c>
    </row>
    <row r="24" spans="1:16" x14ac:dyDescent="0.3">
      <c r="A24" t="s">
        <v>34</v>
      </c>
      <c r="B24" t="s">
        <v>165</v>
      </c>
      <c r="C24">
        <v>4</v>
      </c>
      <c r="D24">
        <v>3</v>
      </c>
      <c r="E24">
        <v>4</v>
      </c>
      <c r="F24">
        <v>2</v>
      </c>
      <c r="G24">
        <v>1</v>
      </c>
      <c r="H24">
        <v>2</v>
      </c>
      <c r="I24">
        <v>1</v>
      </c>
      <c r="J24">
        <v>2</v>
      </c>
      <c r="K24">
        <v>1</v>
      </c>
      <c r="L24">
        <v>4</v>
      </c>
      <c r="M24">
        <v>4</v>
      </c>
      <c r="N24">
        <v>1</v>
      </c>
      <c r="O24">
        <v>4</v>
      </c>
      <c r="P24">
        <v>2</v>
      </c>
    </row>
    <row r="25" spans="1:16" x14ac:dyDescent="0.3">
      <c r="A25" t="s">
        <v>35</v>
      </c>
      <c r="B25" t="s">
        <v>166</v>
      </c>
      <c r="C25">
        <v>1</v>
      </c>
      <c r="D25">
        <v>1</v>
      </c>
      <c r="E25">
        <v>2</v>
      </c>
      <c r="F25">
        <v>5</v>
      </c>
      <c r="G25">
        <v>5</v>
      </c>
      <c r="H25">
        <v>5</v>
      </c>
      <c r="I25">
        <v>3</v>
      </c>
      <c r="J25">
        <v>1</v>
      </c>
      <c r="K25">
        <v>4</v>
      </c>
      <c r="L25">
        <v>1</v>
      </c>
      <c r="M25">
        <v>2</v>
      </c>
      <c r="N25">
        <v>3</v>
      </c>
      <c r="O25">
        <v>1</v>
      </c>
      <c r="P25">
        <v>2</v>
      </c>
    </row>
    <row r="26" spans="1:16" x14ac:dyDescent="0.3">
      <c r="A26" t="s">
        <v>36</v>
      </c>
      <c r="B26" t="s">
        <v>166</v>
      </c>
      <c r="C26">
        <v>2</v>
      </c>
      <c r="D26">
        <v>3</v>
      </c>
      <c r="E26">
        <v>4</v>
      </c>
      <c r="F26">
        <v>3</v>
      </c>
      <c r="G26">
        <v>2</v>
      </c>
      <c r="H26">
        <v>5</v>
      </c>
      <c r="I26">
        <v>3</v>
      </c>
      <c r="J26">
        <v>3</v>
      </c>
      <c r="K26">
        <v>2</v>
      </c>
      <c r="L26">
        <v>2</v>
      </c>
      <c r="M26">
        <v>5</v>
      </c>
      <c r="N26">
        <v>2</v>
      </c>
      <c r="O26">
        <v>1</v>
      </c>
      <c r="P26">
        <v>2</v>
      </c>
    </row>
    <row r="27" spans="1:16" x14ac:dyDescent="0.3">
      <c r="A27" t="s">
        <v>37</v>
      </c>
      <c r="B27" t="s">
        <v>165</v>
      </c>
      <c r="C27">
        <v>1</v>
      </c>
      <c r="D27">
        <v>3</v>
      </c>
      <c r="E27">
        <v>4</v>
      </c>
      <c r="F27">
        <v>2</v>
      </c>
      <c r="G27">
        <v>1</v>
      </c>
      <c r="H27">
        <v>1</v>
      </c>
      <c r="I27">
        <v>3</v>
      </c>
      <c r="J27">
        <v>2</v>
      </c>
      <c r="K27">
        <v>1</v>
      </c>
      <c r="L27">
        <v>3</v>
      </c>
      <c r="M27">
        <v>2</v>
      </c>
      <c r="N27">
        <v>1</v>
      </c>
      <c r="O27">
        <v>1</v>
      </c>
      <c r="P27">
        <v>1</v>
      </c>
    </row>
    <row r="28" spans="1:16" x14ac:dyDescent="0.3">
      <c r="A28" t="s">
        <v>38</v>
      </c>
      <c r="B28" t="s">
        <v>165</v>
      </c>
      <c r="C28">
        <v>1</v>
      </c>
      <c r="D28">
        <v>3</v>
      </c>
      <c r="E28">
        <v>4</v>
      </c>
      <c r="F28">
        <v>1</v>
      </c>
      <c r="G28">
        <v>2</v>
      </c>
      <c r="H28">
        <v>2</v>
      </c>
      <c r="I28">
        <v>2</v>
      </c>
      <c r="J28">
        <v>1</v>
      </c>
      <c r="K28">
        <v>3</v>
      </c>
      <c r="L28">
        <v>4</v>
      </c>
      <c r="M28">
        <v>5</v>
      </c>
      <c r="N28">
        <v>2</v>
      </c>
      <c r="O28">
        <v>4</v>
      </c>
      <c r="P28">
        <v>3</v>
      </c>
    </row>
    <row r="29" spans="1:16" x14ac:dyDescent="0.3">
      <c r="A29" t="s">
        <v>39</v>
      </c>
      <c r="B29" t="s">
        <v>165</v>
      </c>
      <c r="C29">
        <v>1</v>
      </c>
      <c r="D29">
        <v>4</v>
      </c>
      <c r="E29">
        <v>4</v>
      </c>
      <c r="F29">
        <v>3</v>
      </c>
      <c r="G29">
        <v>4</v>
      </c>
      <c r="H29">
        <v>3</v>
      </c>
      <c r="I29">
        <v>5</v>
      </c>
      <c r="J29">
        <v>4</v>
      </c>
      <c r="K29">
        <v>5</v>
      </c>
      <c r="L29">
        <v>3</v>
      </c>
      <c r="M29">
        <v>4</v>
      </c>
      <c r="N29">
        <v>2</v>
      </c>
      <c r="O29">
        <v>3</v>
      </c>
      <c r="P29">
        <v>5</v>
      </c>
    </row>
    <row r="30" spans="1:16" x14ac:dyDescent="0.3">
      <c r="A30" t="s">
        <v>40</v>
      </c>
      <c r="B30" t="s">
        <v>166</v>
      </c>
      <c r="C30">
        <v>1</v>
      </c>
      <c r="D30">
        <v>4</v>
      </c>
      <c r="E30">
        <v>3</v>
      </c>
      <c r="F30">
        <v>5</v>
      </c>
      <c r="G30">
        <v>5</v>
      </c>
      <c r="H30">
        <v>4</v>
      </c>
      <c r="I30">
        <v>4</v>
      </c>
      <c r="J30">
        <v>3</v>
      </c>
      <c r="K30">
        <v>2</v>
      </c>
      <c r="L30">
        <v>4</v>
      </c>
      <c r="M30">
        <v>2</v>
      </c>
      <c r="N30">
        <v>1</v>
      </c>
      <c r="O30">
        <v>4</v>
      </c>
      <c r="P30">
        <v>2</v>
      </c>
    </row>
    <row r="31" spans="1:16" x14ac:dyDescent="0.3">
      <c r="A31" t="s">
        <v>41</v>
      </c>
      <c r="B31" t="s">
        <v>165</v>
      </c>
      <c r="C31">
        <v>1</v>
      </c>
      <c r="D31">
        <v>5</v>
      </c>
      <c r="E31">
        <v>3</v>
      </c>
      <c r="F31">
        <v>3</v>
      </c>
      <c r="G31">
        <v>5</v>
      </c>
      <c r="H31">
        <v>3</v>
      </c>
      <c r="I31">
        <v>4</v>
      </c>
      <c r="J31">
        <v>2</v>
      </c>
      <c r="K31">
        <v>3</v>
      </c>
      <c r="L31">
        <v>2</v>
      </c>
      <c r="M31">
        <v>3</v>
      </c>
      <c r="N31">
        <v>3</v>
      </c>
      <c r="O31">
        <v>2</v>
      </c>
      <c r="P31">
        <v>3</v>
      </c>
    </row>
    <row r="32" spans="1:16" x14ac:dyDescent="0.3">
      <c r="A32" t="s">
        <v>42</v>
      </c>
      <c r="B32" t="s">
        <v>166</v>
      </c>
      <c r="C32">
        <v>1</v>
      </c>
      <c r="D32">
        <v>3</v>
      </c>
      <c r="E32">
        <v>3</v>
      </c>
      <c r="F32">
        <v>4</v>
      </c>
      <c r="G32">
        <v>5</v>
      </c>
      <c r="H32">
        <v>5</v>
      </c>
      <c r="I32">
        <v>5</v>
      </c>
      <c r="J32">
        <v>1</v>
      </c>
      <c r="K32">
        <v>1</v>
      </c>
      <c r="L32">
        <v>5</v>
      </c>
      <c r="M32">
        <v>3</v>
      </c>
      <c r="N32">
        <v>2</v>
      </c>
      <c r="O32">
        <v>5</v>
      </c>
      <c r="P32">
        <v>1</v>
      </c>
    </row>
    <row r="33" spans="1:16" x14ac:dyDescent="0.3">
      <c r="A33" t="s">
        <v>43</v>
      </c>
      <c r="B33" t="s">
        <v>165</v>
      </c>
      <c r="C33">
        <v>4</v>
      </c>
      <c r="D33">
        <v>2</v>
      </c>
      <c r="E33">
        <v>1</v>
      </c>
      <c r="F33">
        <v>2</v>
      </c>
      <c r="G33">
        <v>2</v>
      </c>
      <c r="H33">
        <v>5</v>
      </c>
      <c r="I33">
        <v>5</v>
      </c>
      <c r="J33">
        <v>3</v>
      </c>
      <c r="K33">
        <v>1</v>
      </c>
      <c r="L33">
        <v>5</v>
      </c>
      <c r="M33">
        <v>2</v>
      </c>
      <c r="N33">
        <v>4</v>
      </c>
      <c r="O33">
        <v>5</v>
      </c>
      <c r="P33">
        <v>1</v>
      </c>
    </row>
    <row r="34" spans="1:16" x14ac:dyDescent="0.3">
      <c r="A34" t="s">
        <v>44</v>
      </c>
      <c r="B34" t="s">
        <v>166</v>
      </c>
      <c r="C34">
        <v>1</v>
      </c>
      <c r="D34">
        <v>2</v>
      </c>
      <c r="E34">
        <v>1</v>
      </c>
      <c r="F34">
        <v>5</v>
      </c>
      <c r="G34">
        <v>4</v>
      </c>
      <c r="H34">
        <v>2</v>
      </c>
      <c r="I34">
        <v>5</v>
      </c>
      <c r="J34">
        <v>5</v>
      </c>
      <c r="K34">
        <v>5</v>
      </c>
      <c r="L34">
        <v>2</v>
      </c>
      <c r="M34">
        <v>3</v>
      </c>
      <c r="N34">
        <v>4</v>
      </c>
      <c r="O34">
        <v>2</v>
      </c>
      <c r="P34">
        <v>5</v>
      </c>
    </row>
    <row r="35" spans="1:16" x14ac:dyDescent="0.3">
      <c r="A35" t="s">
        <v>45</v>
      </c>
      <c r="B35" t="s">
        <v>165</v>
      </c>
      <c r="C35">
        <v>3</v>
      </c>
      <c r="D35">
        <v>4</v>
      </c>
      <c r="E35">
        <v>3</v>
      </c>
      <c r="F35">
        <v>3</v>
      </c>
      <c r="G35">
        <v>1</v>
      </c>
      <c r="H35">
        <v>1</v>
      </c>
      <c r="I35">
        <v>4</v>
      </c>
      <c r="J35">
        <v>4</v>
      </c>
      <c r="K35">
        <v>4</v>
      </c>
      <c r="L35">
        <v>2</v>
      </c>
      <c r="M35">
        <v>2</v>
      </c>
      <c r="N35">
        <v>1</v>
      </c>
      <c r="O35">
        <v>2</v>
      </c>
      <c r="P35">
        <v>4</v>
      </c>
    </row>
    <row r="36" spans="1:16" x14ac:dyDescent="0.3">
      <c r="A36" t="s">
        <v>46</v>
      </c>
      <c r="B36" t="s">
        <v>165</v>
      </c>
      <c r="C36">
        <v>1</v>
      </c>
      <c r="D36">
        <v>4</v>
      </c>
      <c r="E36">
        <v>2</v>
      </c>
      <c r="F36">
        <v>4</v>
      </c>
      <c r="G36">
        <v>5</v>
      </c>
      <c r="H36">
        <v>3</v>
      </c>
      <c r="I36">
        <v>2</v>
      </c>
      <c r="J36">
        <v>5</v>
      </c>
      <c r="K36">
        <v>4</v>
      </c>
      <c r="L36">
        <v>4</v>
      </c>
      <c r="M36">
        <v>1</v>
      </c>
      <c r="N36">
        <v>1</v>
      </c>
      <c r="O36">
        <v>4</v>
      </c>
      <c r="P36">
        <v>4</v>
      </c>
    </row>
    <row r="37" spans="1:16" x14ac:dyDescent="0.3">
      <c r="A37" t="s">
        <v>47</v>
      </c>
      <c r="B37" t="s">
        <v>166</v>
      </c>
      <c r="C37">
        <v>3</v>
      </c>
      <c r="D37">
        <v>2</v>
      </c>
      <c r="E37">
        <v>4</v>
      </c>
      <c r="F37">
        <v>2</v>
      </c>
      <c r="G37">
        <v>3</v>
      </c>
      <c r="H37">
        <v>4</v>
      </c>
      <c r="I37">
        <v>3</v>
      </c>
      <c r="J37">
        <v>1</v>
      </c>
      <c r="K37">
        <v>2</v>
      </c>
      <c r="L37">
        <v>4</v>
      </c>
      <c r="M37">
        <v>3</v>
      </c>
      <c r="N37">
        <v>4</v>
      </c>
      <c r="O37">
        <v>4</v>
      </c>
      <c r="P37">
        <v>2</v>
      </c>
    </row>
    <row r="38" spans="1:16" x14ac:dyDescent="0.3">
      <c r="A38" t="s">
        <v>48</v>
      </c>
      <c r="B38" t="s">
        <v>166</v>
      </c>
      <c r="C38">
        <v>3</v>
      </c>
      <c r="D38">
        <v>4</v>
      </c>
      <c r="E38">
        <v>4</v>
      </c>
      <c r="F38">
        <v>4</v>
      </c>
      <c r="G38">
        <v>5</v>
      </c>
      <c r="H38">
        <v>1</v>
      </c>
      <c r="I38">
        <v>3</v>
      </c>
      <c r="J38">
        <v>1</v>
      </c>
      <c r="K38">
        <v>4</v>
      </c>
      <c r="L38">
        <v>1</v>
      </c>
      <c r="M38">
        <v>2</v>
      </c>
      <c r="N38">
        <v>1</v>
      </c>
      <c r="O38">
        <v>1</v>
      </c>
      <c r="P38">
        <v>4</v>
      </c>
    </row>
    <row r="39" spans="1:16" x14ac:dyDescent="0.3">
      <c r="A39" t="s">
        <v>49</v>
      </c>
      <c r="B39" t="s">
        <v>165</v>
      </c>
      <c r="C39">
        <v>2</v>
      </c>
      <c r="D39">
        <v>1</v>
      </c>
      <c r="E39">
        <v>5</v>
      </c>
      <c r="F39">
        <v>5</v>
      </c>
      <c r="G39">
        <v>5</v>
      </c>
      <c r="H39">
        <v>1</v>
      </c>
      <c r="I39">
        <v>4</v>
      </c>
      <c r="J39">
        <v>1</v>
      </c>
      <c r="K39">
        <v>2</v>
      </c>
      <c r="L39">
        <v>2</v>
      </c>
      <c r="M39">
        <v>5</v>
      </c>
      <c r="N39">
        <v>2</v>
      </c>
      <c r="O39">
        <v>2</v>
      </c>
      <c r="P39">
        <v>2</v>
      </c>
    </row>
    <row r="40" spans="1:16" x14ac:dyDescent="0.3">
      <c r="A40" t="s">
        <v>50</v>
      </c>
      <c r="B40" t="s">
        <v>166</v>
      </c>
      <c r="C40">
        <v>1</v>
      </c>
      <c r="D40">
        <v>3</v>
      </c>
      <c r="E40">
        <v>3</v>
      </c>
      <c r="F40">
        <v>2</v>
      </c>
      <c r="G40">
        <v>1</v>
      </c>
      <c r="H40">
        <v>2</v>
      </c>
      <c r="I40">
        <v>1</v>
      </c>
      <c r="J40">
        <v>2</v>
      </c>
      <c r="K40">
        <v>1</v>
      </c>
      <c r="L40">
        <v>4</v>
      </c>
      <c r="M40">
        <v>4</v>
      </c>
      <c r="N40">
        <v>2</v>
      </c>
      <c r="O40">
        <v>4</v>
      </c>
      <c r="P40">
        <v>1</v>
      </c>
    </row>
    <row r="41" spans="1:16" x14ac:dyDescent="0.3">
      <c r="A41" t="s">
        <v>51</v>
      </c>
      <c r="B41" t="s">
        <v>166</v>
      </c>
      <c r="C41">
        <v>2</v>
      </c>
      <c r="D41">
        <v>1</v>
      </c>
      <c r="E41">
        <v>2</v>
      </c>
      <c r="F41">
        <v>5</v>
      </c>
      <c r="G41">
        <v>5</v>
      </c>
      <c r="H41">
        <v>5</v>
      </c>
      <c r="I41">
        <v>4</v>
      </c>
      <c r="J41">
        <v>1</v>
      </c>
      <c r="K41">
        <v>4</v>
      </c>
      <c r="L41">
        <v>1</v>
      </c>
      <c r="M41">
        <v>4</v>
      </c>
      <c r="N41">
        <v>3</v>
      </c>
      <c r="O41">
        <v>1</v>
      </c>
      <c r="P41">
        <v>4</v>
      </c>
    </row>
    <row r="42" spans="1:16" x14ac:dyDescent="0.3">
      <c r="A42" t="s">
        <v>52</v>
      </c>
      <c r="B42" t="s">
        <v>166</v>
      </c>
      <c r="C42">
        <v>4</v>
      </c>
      <c r="D42">
        <v>3</v>
      </c>
      <c r="E42">
        <v>3</v>
      </c>
      <c r="F42">
        <v>3</v>
      </c>
      <c r="G42">
        <v>2</v>
      </c>
      <c r="H42">
        <v>5</v>
      </c>
      <c r="I42">
        <v>3</v>
      </c>
      <c r="J42">
        <v>3</v>
      </c>
      <c r="K42">
        <v>2</v>
      </c>
      <c r="L42">
        <v>2</v>
      </c>
      <c r="M42">
        <v>5</v>
      </c>
      <c r="N42">
        <v>4</v>
      </c>
      <c r="O42">
        <v>2</v>
      </c>
      <c r="P42">
        <v>2</v>
      </c>
    </row>
    <row r="43" spans="1:16" x14ac:dyDescent="0.3">
      <c r="A43" t="s">
        <v>53</v>
      </c>
      <c r="B43" t="s">
        <v>166</v>
      </c>
      <c r="C43">
        <v>5</v>
      </c>
      <c r="D43">
        <v>5</v>
      </c>
      <c r="E43">
        <v>5</v>
      </c>
      <c r="F43">
        <v>5</v>
      </c>
      <c r="G43">
        <v>5</v>
      </c>
      <c r="H43">
        <v>5</v>
      </c>
      <c r="I43">
        <v>5</v>
      </c>
      <c r="J43">
        <v>5</v>
      </c>
      <c r="K43">
        <v>5</v>
      </c>
      <c r="L43">
        <v>5</v>
      </c>
      <c r="M43">
        <v>5</v>
      </c>
      <c r="N43">
        <v>5</v>
      </c>
      <c r="O43">
        <v>5</v>
      </c>
      <c r="P43">
        <v>5</v>
      </c>
    </row>
    <row r="44" spans="1:16" x14ac:dyDescent="0.3">
      <c r="A44" t="s">
        <v>54</v>
      </c>
      <c r="B44" t="s">
        <v>165</v>
      </c>
      <c r="C44">
        <v>1</v>
      </c>
      <c r="D44">
        <v>3</v>
      </c>
      <c r="E44">
        <v>5</v>
      </c>
      <c r="F44">
        <v>1</v>
      </c>
      <c r="G44">
        <v>2</v>
      </c>
      <c r="H44">
        <v>2</v>
      </c>
      <c r="I44">
        <v>4</v>
      </c>
      <c r="J44">
        <v>1</v>
      </c>
      <c r="K44">
        <v>3</v>
      </c>
      <c r="L44">
        <v>4</v>
      </c>
      <c r="M44">
        <v>5</v>
      </c>
      <c r="N44">
        <v>1</v>
      </c>
      <c r="O44">
        <v>4</v>
      </c>
      <c r="P44">
        <v>3</v>
      </c>
    </row>
    <row r="45" spans="1:16" x14ac:dyDescent="0.3">
      <c r="A45" t="s">
        <v>55</v>
      </c>
      <c r="B45" t="s">
        <v>165</v>
      </c>
      <c r="C45">
        <v>1</v>
      </c>
      <c r="D45">
        <v>4</v>
      </c>
      <c r="E45">
        <v>4</v>
      </c>
      <c r="F45">
        <v>3</v>
      </c>
      <c r="G45">
        <v>4</v>
      </c>
      <c r="H45">
        <v>3</v>
      </c>
      <c r="I45">
        <v>4</v>
      </c>
      <c r="J45">
        <v>4</v>
      </c>
      <c r="K45">
        <v>5</v>
      </c>
      <c r="L45">
        <v>3</v>
      </c>
      <c r="M45">
        <v>4</v>
      </c>
      <c r="N45">
        <v>2</v>
      </c>
      <c r="O45">
        <v>3</v>
      </c>
      <c r="P45">
        <v>5</v>
      </c>
    </row>
    <row r="46" spans="1:16" x14ac:dyDescent="0.3">
      <c r="A46" t="s">
        <v>56</v>
      </c>
      <c r="B46" t="s">
        <v>165</v>
      </c>
      <c r="C46">
        <v>1</v>
      </c>
      <c r="D46">
        <v>4</v>
      </c>
      <c r="E46">
        <v>3</v>
      </c>
      <c r="F46">
        <v>5</v>
      </c>
      <c r="G46">
        <v>5</v>
      </c>
      <c r="H46">
        <v>4</v>
      </c>
      <c r="I46">
        <v>4</v>
      </c>
      <c r="J46">
        <v>3</v>
      </c>
      <c r="K46">
        <v>2</v>
      </c>
      <c r="L46">
        <v>4</v>
      </c>
      <c r="M46">
        <v>2</v>
      </c>
      <c r="N46">
        <v>1</v>
      </c>
      <c r="O46">
        <v>4</v>
      </c>
      <c r="P46">
        <v>2</v>
      </c>
    </row>
    <row r="47" spans="1:16" x14ac:dyDescent="0.3">
      <c r="A47" t="s">
        <v>57</v>
      </c>
      <c r="B47" t="s">
        <v>166</v>
      </c>
      <c r="C47">
        <v>5</v>
      </c>
      <c r="D47">
        <v>5</v>
      </c>
      <c r="E47">
        <v>1</v>
      </c>
      <c r="F47">
        <v>3</v>
      </c>
      <c r="G47">
        <v>5</v>
      </c>
      <c r="H47">
        <v>3</v>
      </c>
      <c r="I47">
        <v>4</v>
      </c>
      <c r="J47">
        <v>2</v>
      </c>
      <c r="K47">
        <v>3</v>
      </c>
      <c r="L47">
        <v>2</v>
      </c>
      <c r="M47">
        <v>3</v>
      </c>
      <c r="N47">
        <v>2</v>
      </c>
      <c r="O47">
        <v>2</v>
      </c>
      <c r="P47">
        <v>2</v>
      </c>
    </row>
    <row r="48" spans="1:16" x14ac:dyDescent="0.3">
      <c r="A48" t="s">
        <v>58</v>
      </c>
      <c r="B48" t="s">
        <v>166</v>
      </c>
      <c r="C48">
        <v>4</v>
      </c>
      <c r="D48">
        <v>4</v>
      </c>
      <c r="E48">
        <v>4</v>
      </c>
      <c r="F48">
        <v>4</v>
      </c>
      <c r="G48">
        <v>4</v>
      </c>
      <c r="H48">
        <v>4</v>
      </c>
      <c r="I48">
        <v>4</v>
      </c>
      <c r="J48">
        <v>4</v>
      </c>
      <c r="K48">
        <v>4</v>
      </c>
      <c r="L48">
        <v>4</v>
      </c>
      <c r="M48">
        <v>4</v>
      </c>
      <c r="N48">
        <v>4</v>
      </c>
      <c r="O48">
        <v>4</v>
      </c>
      <c r="P48">
        <v>4</v>
      </c>
    </row>
    <row r="49" spans="1:16" x14ac:dyDescent="0.3">
      <c r="A49" t="s">
        <v>59</v>
      </c>
      <c r="B49" t="s">
        <v>165</v>
      </c>
      <c r="C49">
        <v>4</v>
      </c>
      <c r="D49">
        <v>2</v>
      </c>
      <c r="E49">
        <v>4</v>
      </c>
      <c r="F49">
        <v>2</v>
      </c>
      <c r="G49">
        <v>2</v>
      </c>
      <c r="H49">
        <v>5</v>
      </c>
      <c r="I49">
        <v>5</v>
      </c>
      <c r="J49">
        <v>3</v>
      </c>
      <c r="K49">
        <v>1</v>
      </c>
      <c r="L49">
        <v>5</v>
      </c>
      <c r="M49">
        <v>5</v>
      </c>
      <c r="N49">
        <v>4</v>
      </c>
      <c r="O49">
        <v>5</v>
      </c>
      <c r="P49">
        <v>1</v>
      </c>
    </row>
    <row r="50" spans="1:16" x14ac:dyDescent="0.3">
      <c r="A50" t="s">
        <v>60</v>
      </c>
      <c r="B50" t="s">
        <v>166</v>
      </c>
      <c r="C50">
        <v>3</v>
      </c>
      <c r="D50">
        <v>4</v>
      </c>
      <c r="E50">
        <v>4</v>
      </c>
      <c r="F50">
        <v>4</v>
      </c>
      <c r="G50">
        <v>5</v>
      </c>
      <c r="H50">
        <v>1</v>
      </c>
      <c r="I50">
        <v>3</v>
      </c>
      <c r="J50">
        <v>1</v>
      </c>
      <c r="K50">
        <v>4</v>
      </c>
      <c r="L50">
        <v>1</v>
      </c>
      <c r="M50">
        <v>5</v>
      </c>
      <c r="N50">
        <v>1</v>
      </c>
      <c r="O50">
        <v>1</v>
      </c>
      <c r="P50">
        <v>4</v>
      </c>
    </row>
    <row r="51" spans="1:16" x14ac:dyDescent="0.3">
      <c r="A51" t="s">
        <v>61</v>
      </c>
      <c r="B51" t="s">
        <v>165</v>
      </c>
      <c r="C51">
        <v>2</v>
      </c>
      <c r="D51">
        <v>1</v>
      </c>
      <c r="E51">
        <v>5</v>
      </c>
      <c r="F51">
        <v>5</v>
      </c>
      <c r="G51">
        <v>5</v>
      </c>
      <c r="H51">
        <v>1</v>
      </c>
      <c r="I51">
        <v>2</v>
      </c>
      <c r="J51">
        <v>1</v>
      </c>
      <c r="K51">
        <v>2</v>
      </c>
      <c r="L51">
        <v>2</v>
      </c>
      <c r="M51">
        <v>5</v>
      </c>
      <c r="N51">
        <v>2</v>
      </c>
      <c r="O51">
        <v>2</v>
      </c>
      <c r="P51">
        <v>2</v>
      </c>
    </row>
    <row r="52" spans="1:16" x14ac:dyDescent="0.3">
      <c r="A52" t="s">
        <v>62</v>
      </c>
      <c r="B52" t="s">
        <v>165</v>
      </c>
      <c r="C52">
        <v>4</v>
      </c>
      <c r="D52">
        <v>3</v>
      </c>
      <c r="E52">
        <v>3</v>
      </c>
      <c r="F52">
        <v>2</v>
      </c>
      <c r="G52">
        <v>1</v>
      </c>
      <c r="H52">
        <v>2</v>
      </c>
      <c r="I52">
        <v>1</v>
      </c>
      <c r="J52">
        <v>2</v>
      </c>
      <c r="K52">
        <v>1</v>
      </c>
      <c r="L52">
        <v>4</v>
      </c>
      <c r="M52">
        <v>4</v>
      </c>
      <c r="N52">
        <v>2</v>
      </c>
      <c r="O52">
        <v>4</v>
      </c>
      <c r="P52">
        <v>1</v>
      </c>
    </row>
    <row r="53" spans="1:16" x14ac:dyDescent="0.3">
      <c r="A53" t="s">
        <v>63</v>
      </c>
      <c r="B53" t="s">
        <v>165</v>
      </c>
      <c r="C53">
        <v>2</v>
      </c>
      <c r="D53">
        <v>1</v>
      </c>
      <c r="E53">
        <v>2</v>
      </c>
      <c r="F53">
        <v>5</v>
      </c>
      <c r="G53">
        <v>5</v>
      </c>
      <c r="H53">
        <v>5</v>
      </c>
      <c r="I53">
        <v>3</v>
      </c>
      <c r="J53">
        <v>1</v>
      </c>
      <c r="K53">
        <v>4</v>
      </c>
      <c r="L53">
        <v>1</v>
      </c>
      <c r="M53">
        <v>4</v>
      </c>
      <c r="N53">
        <v>3</v>
      </c>
      <c r="O53">
        <v>1</v>
      </c>
      <c r="P53">
        <v>4</v>
      </c>
    </row>
    <row r="54" spans="1:16" x14ac:dyDescent="0.3">
      <c r="A54" t="s">
        <v>64</v>
      </c>
      <c r="B54" t="s">
        <v>165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</row>
    <row r="55" spans="1:16" x14ac:dyDescent="0.3">
      <c r="A55" t="s">
        <v>65</v>
      </c>
      <c r="B55" t="s">
        <v>166</v>
      </c>
      <c r="C55">
        <v>2</v>
      </c>
      <c r="D55">
        <v>3</v>
      </c>
      <c r="E55">
        <v>1</v>
      </c>
      <c r="F55">
        <v>2</v>
      </c>
      <c r="G55">
        <v>1</v>
      </c>
      <c r="H55">
        <v>1</v>
      </c>
      <c r="I55">
        <v>3</v>
      </c>
      <c r="J55">
        <v>2</v>
      </c>
      <c r="K55">
        <v>1</v>
      </c>
      <c r="L55">
        <v>3</v>
      </c>
      <c r="M55">
        <v>3</v>
      </c>
      <c r="N55">
        <v>1</v>
      </c>
      <c r="O55">
        <v>3</v>
      </c>
      <c r="P55">
        <v>1</v>
      </c>
    </row>
    <row r="56" spans="1:16" x14ac:dyDescent="0.3">
      <c r="A56" t="s">
        <v>66</v>
      </c>
      <c r="B56" t="s">
        <v>166</v>
      </c>
      <c r="C56">
        <v>1</v>
      </c>
      <c r="D56">
        <v>3</v>
      </c>
      <c r="E56">
        <v>5</v>
      </c>
      <c r="F56">
        <v>1</v>
      </c>
      <c r="G56">
        <v>2</v>
      </c>
      <c r="H56">
        <v>2</v>
      </c>
      <c r="I56">
        <v>2</v>
      </c>
      <c r="J56">
        <v>1</v>
      </c>
      <c r="K56">
        <v>3</v>
      </c>
      <c r="L56">
        <v>4</v>
      </c>
      <c r="M56">
        <v>5</v>
      </c>
      <c r="N56">
        <v>5</v>
      </c>
      <c r="O56">
        <v>4</v>
      </c>
      <c r="P56">
        <v>3</v>
      </c>
    </row>
    <row r="57" spans="1:16" x14ac:dyDescent="0.3">
      <c r="A57" t="s">
        <v>67</v>
      </c>
      <c r="B57" t="s">
        <v>166</v>
      </c>
      <c r="C57">
        <v>1</v>
      </c>
      <c r="D57">
        <v>4</v>
      </c>
      <c r="E57">
        <v>1</v>
      </c>
      <c r="F57">
        <v>3</v>
      </c>
      <c r="G57">
        <v>4</v>
      </c>
      <c r="H57">
        <v>3</v>
      </c>
      <c r="I57">
        <v>5</v>
      </c>
      <c r="J57">
        <v>4</v>
      </c>
      <c r="K57">
        <v>5</v>
      </c>
      <c r="L57">
        <v>3</v>
      </c>
      <c r="M57">
        <v>4</v>
      </c>
      <c r="N57">
        <v>2</v>
      </c>
      <c r="O57">
        <v>3</v>
      </c>
      <c r="P57">
        <v>5</v>
      </c>
    </row>
    <row r="58" spans="1:16" x14ac:dyDescent="0.3">
      <c r="A58" t="s">
        <v>68</v>
      </c>
      <c r="B58" t="s">
        <v>166</v>
      </c>
      <c r="C58">
        <v>3</v>
      </c>
      <c r="D58">
        <v>4</v>
      </c>
      <c r="E58">
        <v>3</v>
      </c>
      <c r="F58">
        <v>5</v>
      </c>
      <c r="G58">
        <v>5</v>
      </c>
      <c r="H58">
        <v>4</v>
      </c>
      <c r="I58">
        <v>4</v>
      </c>
      <c r="J58">
        <v>3</v>
      </c>
      <c r="K58">
        <v>2</v>
      </c>
      <c r="L58">
        <v>4</v>
      </c>
      <c r="M58">
        <v>2</v>
      </c>
      <c r="N58">
        <v>5</v>
      </c>
      <c r="O58">
        <v>4</v>
      </c>
      <c r="P58">
        <v>5</v>
      </c>
    </row>
    <row r="59" spans="1:16" x14ac:dyDescent="0.3">
      <c r="A59" t="s">
        <v>69</v>
      </c>
      <c r="B59" t="s">
        <v>165</v>
      </c>
      <c r="C59">
        <v>2</v>
      </c>
      <c r="D59">
        <v>5</v>
      </c>
      <c r="E59">
        <v>4</v>
      </c>
      <c r="F59">
        <v>3</v>
      </c>
      <c r="G59">
        <v>5</v>
      </c>
      <c r="H59">
        <v>3</v>
      </c>
      <c r="I59">
        <v>4</v>
      </c>
      <c r="J59">
        <v>2</v>
      </c>
      <c r="K59">
        <v>3</v>
      </c>
      <c r="L59">
        <v>2</v>
      </c>
      <c r="M59">
        <v>3</v>
      </c>
      <c r="N59">
        <v>3</v>
      </c>
      <c r="O59">
        <v>2</v>
      </c>
      <c r="P59">
        <v>3</v>
      </c>
    </row>
    <row r="60" spans="1:16" x14ac:dyDescent="0.3">
      <c r="A60" t="s">
        <v>70</v>
      </c>
      <c r="B60" t="s">
        <v>165</v>
      </c>
      <c r="C60">
        <v>1</v>
      </c>
      <c r="D60">
        <v>3</v>
      </c>
      <c r="E60">
        <v>3</v>
      </c>
      <c r="F60">
        <v>4</v>
      </c>
      <c r="G60">
        <v>5</v>
      </c>
      <c r="H60">
        <v>5</v>
      </c>
      <c r="I60">
        <v>5</v>
      </c>
      <c r="J60">
        <v>1</v>
      </c>
      <c r="K60">
        <v>1</v>
      </c>
      <c r="L60">
        <v>5</v>
      </c>
      <c r="M60">
        <v>3</v>
      </c>
      <c r="N60">
        <v>2</v>
      </c>
      <c r="O60">
        <v>5</v>
      </c>
      <c r="P60">
        <v>1</v>
      </c>
    </row>
    <row r="61" spans="1:16" x14ac:dyDescent="0.3">
      <c r="A61" t="s">
        <v>71</v>
      </c>
      <c r="B61" t="s">
        <v>165</v>
      </c>
      <c r="C61">
        <v>4</v>
      </c>
      <c r="D61">
        <v>2</v>
      </c>
      <c r="E61">
        <v>4</v>
      </c>
      <c r="F61">
        <v>2</v>
      </c>
      <c r="G61">
        <v>2</v>
      </c>
      <c r="H61">
        <v>5</v>
      </c>
      <c r="I61">
        <v>5</v>
      </c>
      <c r="J61">
        <v>3</v>
      </c>
      <c r="K61">
        <v>1</v>
      </c>
      <c r="L61">
        <v>5</v>
      </c>
      <c r="M61">
        <v>2</v>
      </c>
      <c r="N61">
        <v>4</v>
      </c>
      <c r="O61">
        <v>5</v>
      </c>
      <c r="P61">
        <v>1</v>
      </c>
    </row>
    <row r="62" spans="1:16" x14ac:dyDescent="0.3">
      <c r="A62" t="s">
        <v>72</v>
      </c>
      <c r="B62" t="s">
        <v>165</v>
      </c>
      <c r="C62">
        <v>3</v>
      </c>
      <c r="D62">
        <v>2</v>
      </c>
      <c r="E62">
        <v>1</v>
      </c>
      <c r="F62">
        <v>2</v>
      </c>
      <c r="G62">
        <v>3</v>
      </c>
      <c r="H62">
        <v>4</v>
      </c>
      <c r="I62">
        <v>3</v>
      </c>
      <c r="J62">
        <v>1</v>
      </c>
      <c r="K62">
        <v>2</v>
      </c>
      <c r="L62">
        <v>4</v>
      </c>
      <c r="M62">
        <v>3</v>
      </c>
      <c r="N62">
        <v>4</v>
      </c>
      <c r="O62">
        <v>4</v>
      </c>
      <c r="P62">
        <v>2</v>
      </c>
    </row>
    <row r="63" spans="1:16" x14ac:dyDescent="0.3">
      <c r="A63" t="s">
        <v>73</v>
      </c>
      <c r="B63" t="s">
        <v>166</v>
      </c>
      <c r="C63">
        <v>3</v>
      </c>
      <c r="D63">
        <v>4</v>
      </c>
      <c r="E63">
        <v>4</v>
      </c>
      <c r="F63">
        <v>4</v>
      </c>
      <c r="G63">
        <v>5</v>
      </c>
      <c r="H63">
        <v>1</v>
      </c>
      <c r="I63">
        <v>4</v>
      </c>
      <c r="J63">
        <v>1</v>
      </c>
      <c r="K63">
        <v>4</v>
      </c>
      <c r="L63">
        <v>1</v>
      </c>
      <c r="M63">
        <v>2</v>
      </c>
      <c r="N63">
        <v>1</v>
      </c>
      <c r="O63">
        <v>1</v>
      </c>
      <c r="P63">
        <v>4</v>
      </c>
    </row>
    <row r="64" spans="1:16" x14ac:dyDescent="0.3">
      <c r="A64" t="s">
        <v>74</v>
      </c>
      <c r="B64" t="s">
        <v>165</v>
      </c>
      <c r="C64">
        <v>2</v>
      </c>
      <c r="D64">
        <v>1</v>
      </c>
      <c r="E64">
        <v>5</v>
      </c>
      <c r="F64">
        <v>5</v>
      </c>
      <c r="G64">
        <v>5</v>
      </c>
      <c r="H64">
        <v>1</v>
      </c>
      <c r="I64">
        <v>4</v>
      </c>
      <c r="J64">
        <v>1</v>
      </c>
      <c r="K64">
        <v>2</v>
      </c>
      <c r="L64">
        <v>2</v>
      </c>
      <c r="M64">
        <v>4</v>
      </c>
      <c r="N64">
        <v>2</v>
      </c>
      <c r="O64">
        <v>2</v>
      </c>
      <c r="P64">
        <v>2</v>
      </c>
    </row>
    <row r="65" spans="1:16" x14ac:dyDescent="0.3">
      <c r="A65" t="s">
        <v>75</v>
      </c>
      <c r="B65" t="s">
        <v>165</v>
      </c>
      <c r="C65">
        <v>4</v>
      </c>
      <c r="D65">
        <v>3</v>
      </c>
      <c r="E65">
        <v>3</v>
      </c>
      <c r="F65">
        <v>2</v>
      </c>
      <c r="G65">
        <v>1</v>
      </c>
      <c r="H65">
        <v>2</v>
      </c>
      <c r="I65">
        <v>4</v>
      </c>
      <c r="J65">
        <v>2</v>
      </c>
      <c r="K65">
        <v>1</v>
      </c>
      <c r="L65">
        <v>4</v>
      </c>
      <c r="M65">
        <v>4</v>
      </c>
      <c r="N65">
        <v>2</v>
      </c>
      <c r="O65">
        <v>4</v>
      </c>
      <c r="P65">
        <v>1</v>
      </c>
    </row>
    <row r="66" spans="1:16" x14ac:dyDescent="0.3">
      <c r="A66" t="s">
        <v>76</v>
      </c>
      <c r="B66" t="s">
        <v>166</v>
      </c>
      <c r="C66">
        <v>2</v>
      </c>
      <c r="D66">
        <v>1</v>
      </c>
      <c r="E66">
        <v>4</v>
      </c>
      <c r="F66">
        <v>5</v>
      </c>
      <c r="G66">
        <v>5</v>
      </c>
      <c r="H66">
        <v>5</v>
      </c>
      <c r="I66">
        <v>3</v>
      </c>
      <c r="J66">
        <v>1</v>
      </c>
      <c r="K66">
        <v>4</v>
      </c>
      <c r="L66">
        <v>1</v>
      </c>
      <c r="M66">
        <v>4</v>
      </c>
      <c r="N66">
        <v>3</v>
      </c>
      <c r="O66">
        <v>4</v>
      </c>
      <c r="P66">
        <v>4</v>
      </c>
    </row>
    <row r="67" spans="1:16" x14ac:dyDescent="0.3">
      <c r="A67" t="s">
        <v>77</v>
      </c>
      <c r="B67" t="s">
        <v>166</v>
      </c>
      <c r="C67">
        <v>4</v>
      </c>
      <c r="D67">
        <v>3</v>
      </c>
      <c r="E67">
        <v>4</v>
      </c>
      <c r="F67">
        <v>3</v>
      </c>
      <c r="G67">
        <v>2</v>
      </c>
      <c r="H67">
        <v>5</v>
      </c>
      <c r="I67">
        <v>3</v>
      </c>
      <c r="J67">
        <v>3</v>
      </c>
      <c r="K67">
        <v>2</v>
      </c>
      <c r="L67">
        <v>2</v>
      </c>
      <c r="M67">
        <v>5</v>
      </c>
      <c r="N67">
        <v>2</v>
      </c>
      <c r="O67">
        <v>4</v>
      </c>
      <c r="P67">
        <v>2</v>
      </c>
    </row>
    <row r="68" spans="1:16" x14ac:dyDescent="0.3">
      <c r="A68" t="s">
        <v>78</v>
      </c>
      <c r="B68" t="s">
        <v>166</v>
      </c>
      <c r="C68">
        <v>2</v>
      </c>
      <c r="D68">
        <v>3</v>
      </c>
      <c r="E68">
        <v>4</v>
      </c>
      <c r="F68">
        <v>2</v>
      </c>
      <c r="G68">
        <v>1</v>
      </c>
      <c r="H68">
        <v>1</v>
      </c>
      <c r="I68">
        <v>4</v>
      </c>
      <c r="J68">
        <v>2</v>
      </c>
      <c r="K68">
        <v>1</v>
      </c>
      <c r="L68">
        <v>3</v>
      </c>
      <c r="M68">
        <v>3</v>
      </c>
      <c r="N68">
        <v>1</v>
      </c>
      <c r="O68">
        <v>3</v>
      </c>
      <c r="P68">
        <v>1</v>
      </c>
    </row>
    <row r="69" spans="1:16" x14ac:dyDescent="0.3">
      <c r="A69" t="s">
        <v>79</v>
      </c>
      <c r="B69" t="s">
        <v>166</v>
      </c>
      <c r="C69">
        <v>1</v>
      </c>
      <c r="D69">
        <v>3</v>
      </c>
      <c r="E69">
        <v>5</v>
      </c>
      <c r="F69">
        <v>1</v>
      </c>
      <c r="G69">
        <v>2</v>
      </c>
      <c r="H69">
        <v>2</v>
      </c>
      <c r="I69">
        <v>4</v>
      </c>
      <c r="J69">
        <v>1</v>
      </c>
      <c r="K69">
        <v>3</v>
      </c>
      <c r="L69">
        <v>4</v>
      </c>
      <c r="M69">
        <v>2</v>
      </c>
      <c r="N69">
        <v>5</v>
      </c>
      <c r="O69">
        <v>4</v>
      </c>
      <c r="P69">
        <v>3</v>
      </c>
    </row>
    <row r="70" spans="1:16" x14ac:dyDescent="0.3">
      <c r="A70" t="s">
        <v>80</v>
      </c>
      <c r="B70" t="s">
        <v>165</v>
      </c>
      <c r="C70">
        <v>1</v>
      </c>
      <c r="D70">
        <v>4</v>
      </c>
      <c r="E70">
        <v>1</v>
      </c>
      <c r="F70">
        <v>3</v>
      </c>
      <c r="G70">
        <v>4</v>
      </c>
      <c r="H70">
        <v>3</v>
      </c>
      <c r="I70">
        <v>4</v>
      </c>
      <c r="J70">
        <v>4</v>
      </c>
      <c r="K70">
        <v>5</v>
      </c>
      <c r="L70">
        <v>3</v>
      </c>
      <c r="M70">
        <v>4</v>
      </c>
      <c r="N70">
        <v>1</v>
      </c>
      <c r="O70">
        <v>3</v>
      </c>
      <c r="P70">
        <v>3</v>
      </c>
    </row>
    <row r="71" spans="1:16" x14ac:dyDescent="0.3">
      <c r="A71" t="s">
        <v>81</v>
      </c>
      <c r="B71" t="s">
        <v>166</v>
      </c>
      <c r="C71">
        <v>3</v>
      </c>
      <c r="D71">
        <v>4</v>
      </c>
      <c r="E71">
        <v>3</v>
      </c>
      <c r="F71">
        <v>5</v>
      </c>
      <c r="G71">
        <v>5</v>
      </c>
      <c r="H71">
        <v>4</v>
      </c>
      <c r="I71">
        <v>4</v>
      </c>
      <c r="J71">
        <v>3</v>
      </c>
      <c r="K71">
        <v>2</v>
      </c>
      <c r="L71">
        <v>4</v>
      </c>
      <c r="M71">
        <v>2</v>
      </c>
      <c r="N71">
        <v>2</v>
      </c>
      <c r="O71">
        <v>4</v>
      </c>
      <c r="P71">
        <v>2</v>
      </c>
    </row>
    <row r="72" spans="1:16" x14ac:dyDescent="0.3">
      <c r="A72" t="s">
        <v>82</v>
      </c>
      <c r="B72" t="s">
        <v>165</v>
      </c>
      <c r="C72">
        <v>1</v>
      </c>
      <c r="D72">
        <v>5</v>
      </c>
      <c r="E72">
        <v>5</v>
      </c>
      <c r="F72">
        <v>3</v>
      </c>
      <c r="G72">
        <v>5</v>
      </c>
      <c r="H72">
        <v>3</v>
      </c>
      <c r="I72">
        <v>4</v>
      </c>
      <c r="J72">
        <v>2</v>
      </c>
      <c r="K72">
        <v>3</v>
      </c>
      <c r="L72">
        <v>2</v>
      </c>
      <c r="M72">
        <v>3</v>
      </c>
      <c r="N72">
        <v>3</v>
      </c>
      <c r="O72">
        <v>2</v>
      </c>
      <c r="P72">
        <v>3</v>
      </c>
    </row>
    <row r="73" spans="1:16" x14ac:dyDescent="0.3">
      <c r="A73" t="s">
        <v>83</v>
      </c>
      <c r="B73" t="s">
        <v>166</v>
      </c>
      <c r="C73">
        <v>1</v>
      </c>
      <c r="D73">
        <v>3</v>
      </c>
      <c r="E73">
        <v>5</v>
      </c>
      <c r="F73">
        <v>4</v>
      </c>
      <c r="G73">
        <v>5</v>
      </c>
      <c r="H73">
        <v>5</v>
      </c>
      <c r="I73">
        <v>5</v>
      </c>
      <c r="J73">
        <v>1</v>
      </c>
      <c r="K73">
        <v>1</v>
      </c>
      <c r="L73">
        <v>5</v>
      </c>
      <c r="M73">
        <v>3</v>
      </c>
      <c r="N73">
        <v>2</v>
      </c>
      <c r="O73">
        <v>5</v>
      </c>
      <c r="P73">
        <v>1</v>
      </c>
    </row>
    <row r="74" spans="1:16" x14ac:dyDescent="0.3">
      <c r="A74" t="s">
        <v>84</v>
      </c>
      <c r="B74" t="s">
        <v>165</v>
      </c>
      <c r="C74">
        <v>2</v>
      </c>
      <c r="D74">
        <v>2</v>
      </c>
      <c r="E74">
        <v>5</v>
      </c>
      <c r="F74">
        <v>2</v>
      </c>
      <c r="G74">
        <v>2</v>
      </c>
      <c r="H74">
        <v>5</v>
      </c>
      <c r="I74">
        <v>5</v>
      </c>
      <c r="J74">
        <v>3</v>
      </c>
      <c r="K74">
        <v>1</v>
      </c>
      <c r="L74">
        <v>5</v>
      </c>
      <c r="M74">
        <v>2</v>
      </c>
      <c r="N74">
        <v>4</v>
      </c>
      <c r="O74">
        <v>5</v>
      </c>
      <c r="P74">
        <v>1</v>
      </c>
    </row>
    <row r="75" spans="1:16" x14ac:dyDescent="0.3">
      <c r="A75" t="s">
        <v>85</v>
      </c>
      <c r="B75" t="s">
        <v>165</v>
      </c>
      <c r="C75">
        <v>3</v>
      </c>
      <c r="D75">
        <v>4</v>
      </c>
      <c r="E75">
        <v>1</v>
      </c>
      <c r="F75">
        <v>4</v>
      </c>
      <c r="G75">
        <v>5</v>
      </c>
      <c r="H75">
        <v>1</v>
      </c>
      <c r="I75">
        <v>3</v>
      </c>
      <c r="J75">
        <v>1</v>
      </c>
      <c r="K75">
        <v>4</v>
      </c>
      <c r="L75">
        <v>1</v>
      </c>
      <c r="M75">
        <v>2</v>
      </c>
      <c r="N75">
        <v>1</v>
      </c>
      <c r="O75">
        <v>1</v>
      </c>
      <c r="P75">
        <v>4</v>
      </c>
    </row>
    <row r="76" spans="1:16" x14ac:dyDescent="0.3">
      <c r="A76" t="s">
        <v>86</v>
      </c>
      <c r="B76" t="s">
        <v>165</v>
      </c>
      <c r="C76">
        <v>2</v>
      </c>
      <c r="D76">
        <v>1</v>
      </c>
      <c r="E76">
        <v>5</v>
      </c>
      <c r="F76">
        <v>5</v>
      </c>
      <c r="G76">
        <v>5</v>
      </c>
      <c r="H76">
        <v>1</v>
      </c>
      <c r="I76">
        <v>2</v>
      </c>
      <c r="J76">
        <v>1</v>
      </c>
      <c r="K76">
        <v>2</v>
      </c>
      <c r="L76">
        <v>2</v>
      </c>
      <c r="M76">
        <v>5</v>
      </c>
      <c r="N76">
        <v>2</v>
      </c>
      <c r="O76">
        <v>2</v>
      </c>
      <c r="P76">
        <v>2</v>
      </c>
    </row>
    <row r="77" spans="1:16" x14ac:dyDescent="0.3">
      <c r="A77" t="s">
        <v>87</v>
      </c>
      <c r="B77" t="s">
        <v>165</v>
      </c>
      <c r="C77">
        <v>4</v>
      </c>
      <c r="D77">
        <v>3</v>
      </c>
      <c r="E77">
        <v>4</v>
      </c>
      <c r="F77">
        <v>2</v>
      </c>
      <c r="G77">
        <v>1</v>
      </c>
      <c r="H77">
        <v>2</v>
      </c>
      <c r="I77">
        <v>1</v>
      </c>
      <c r="J77">
        <v>2</v>
      </c>
      <c r="K77">
        <v>1</v>
      </c>
      <c r="L77">
        <v>4</v>
      </c>
      <c r="M77">
        <v>4</v>
      </c>
      <c r="N77">
        <v>1</v>
      </c>
      <c r="O77">
        <v>4</v>
      </c>
      <c r="P77">
        <v>2</v>
      </c>
    </row>
    <row r="78" spans="1:16" x14ac:dyDescent="0.3">
      <c r="A78" t="s">
        <v>88</v>
      </c>
      <c r="B78" t="s">
        <v>166</v>
      </c>
      <c r="C78">
        <v>1</v>
      </c>
      <c r="D78">
        <v>1</v>
      </c>
      <c r="E78">
        <v>2</v>
      </c>
      <c r="F78">
        <v>5</v>
      </c>
      <c r="G78">
        <v>5</v>
      </c>
      <c r="H78">
        <v>5</v>
      </c>
      <c r="I78">
        <v>3</v>
      </c>
      <c r="J78">
        <v>1</v>
      </c>
      <c r="K78">
        <v>4</v>
      </c>
      <c r="L78">
        <v>1</v>
      </c>
      <c r="M78">
        <v>4</v>
      </c>
      <c r="N78">
        <v>3</v>
      </c>
      <c r="O78">
        <v>1</v>
      </c>
      <c r="P78">
        <v>2</v>
      </c>
    </row>
    <row r="79" spans="1:16" x14ac:dyDescent="0.3">
      <c r="A79" t="s">
        <v>89</v>
      </c>
      <c r="B79" t="s">
        <v>166</v>
      </c>
      <c r="C79">
        <v>2</v>
      </c>
      <c r="D79">
        <v>3</v>
      </c>
      <c r="E79">
        <v>4</v>
      </c>
      <c r="F79">
        <v>3</v>
      </c>
      <c r="G79">
        <v>2</v>
      </c>
      <c r="H79">
        <v>5</v>
      </c>
      <c r="I79">
        <v>3</v>
      </c>
      <c r="J79">
        <v>3</v>
      </c>
      <c r="K79">
        <v>2</v>
      </c>
      <c r="L79">
        <v>2</v>
      </c>
      <c r="M79">
        <v>5</v>
      </c>
      <c r="N79">
        <v>2</v>
      </c>
      <c r="O79">
        <v>1</v>
      </c>
      <c r="P79">
        <v>2</v>
      </c>
    </row>
    <row r="80" spans="1:16" x14ac:dyDescent="0.3">
      <c r="A80" t="s">
        <v>90</v>
      </c>
      <c r="B80" t="s">
        <v>165</v>
      </c>
      <c r="C80">
        <v>1</v>
      </c>
      <c r="D80">
        <v>3</v>
      </c>
      <c r="E80">
        <v>4</v>
      </c>
      <c r="F80">
        <v>2</v>
      </c>
      <c r="G80">
        <v>1</v>
      </c>
      <c r="H80">
        <v>1</v>
      </c>
      <c r="I80">
        <v>3</v>
      </c>
      <c r="J80">
        <v>2</v>
      </c>
      <c r="K80">
        <v>1</v>
      </c>
      <c r="L80">
        <v>3</v>
      </c>
      <c r="M80">
        <v>4</v>
      </c>
      <c r="N80">
        <v>1</v>
      </c>
      <c r="O80">
        <v>1</v>
      </c>
      <c r="P80">
        <v>1</v>
      </c>
    </row>
    <row r="81" spans="1:16" x14ac:dyDescent="0.3">
      <c r="A81" t="s">
        <v>91</v>
      </c>
      <c r="B81" t="s">
        <v>165</v>
      </c>
      <c r="C81">
        <v>1</v>
      </c>
      <c r="D81">
        <v>3</v>
      </c>
      <c r="E81">
        <v>4</v>
      </c>
      <c r="F81">
        <v>1</v>
      </c>
      <c r="G81">
        <v>2</v>
      </c>
      <c r="H81">
        <v>2</v>
      </c>
      <c r="I81">
        <v>2</v>
      </c>
      <c r="J81">
        <v>1</v>
      </c>
      <c r="K81">
        <v>3</v>
      </c>
      <c r="L81">
        <v>4</v>
      </c>
      <c r="M81">
        <v>5</v>
      </c>
      <c r="N81">
        <v>2</v>
      </c>
      <c r="O81">
        <v>4</v>
      </c>
      <c r="P81">
        <v>3</v>
      </c>
    </row>
    <row r="82" spans="1:16" x14ac:dyDescent="0.3">
      <c r="A82" t="s">
        <v>92</v>
      </c>
      <c r="B82" t="s">
        <v>165</v>
      </c>
      <c r="C82">
        <v>1</v>
      </c>
      <c r="D82">
        <v>4</v>
      </c>
      <c r="E82">
        <v>4</v>
      </c>
      <c r="F82">
        <v>3</v>
      </c>
      <c r="G82">
        <v>4</v>
      </c>
      <c r="H82">
        <v>3</v>
      </c>
      <c r="I82">
        <v>5</v>
      </c>
      <c r="J82">
        <v>4</v>
      </c>
      <c r="K82">
        <v>5</v>
      </c>
      <c r="L82">
        <v>3</v>
      </c>
      <c r="M82">
        <v>4</v>
      </c>
      <c r="N82">
        <v>2</v>
      </c>
      <c r="O82">
        <v>3</v>
      </c>
      <c r="P82">
        <v>5</v>
      </c>
    </row>
    <row r="83" spans="1:16" x14ac:dyDescent="0.3">
      <c r="A83" t="s">
        <v>93</v>
      </c>
      <c r="B83" t="s">
        <v>166</v>
      </c>
      <c r="C83">
        <v>1</v>
      </c>
      <c r="D83">
        <v>4</v>
      </c>
      <c r="E83">
        <v>3</v>
      </c>
      <c r="F83">
        <v>5</v>
      </c>
      <c r="G83">
        <v>5</v>
      </c>
      <c r="H83">
        <v>4</v>
      </c>
      <c r="I83">
        <v>4</v>
      </c>
      <c r="J83">
        <v>3</v>
      </c>
      <c r="K83">
        <v>2</v>
      </c>
      <c r="L83">
        <v>4</v>
      </c>
      <c r="M83">
        <v>2</v>
      </c>
      <c r="N83">
        <v>1</v>
      </c>
      <c r="O83">
        <v>4</v>
      </c>
      <c r="P83">
        <v>2</v>
      </c>
    </row>
    <row r="84" spans="1:16" x14ac:dyDescent="0.3">
      <c r="A84" t="s">
        <v>94</v>
      </c>
      <c r="B84" t="s">
        <v>165</v>
      </c>
      <c r="C84">
        <v>1</v>
      </c>
      <c r="D84">
        <v>5</v>
      </c>
      <c r="E84">
        <v>3</v>
      </c>
      <c r="F84">
        <v>3</v>
      </c>
      <c r="G84">
        <v>5</v>
      </c>
      <c r="H84">
        <v>3</v>
      </c>
      <c r="I84">
        <v>4</v>
      </c>
      <c r="J84">
        <v>2</v>
      </c>
      <c r="K84">
        <v>3</v>
      </c>
      <c r="L84">
        <v>2</v>
      </c>
      <c r="M84">
        <v>3</v>
      </c>
      <c r="N84">
        <v>3</v>
      </c>
      <c r="O84">
        <v>2</v>
      </c>
      <c r="P84">
        <v>3</v>
      </c>
    </row>
    <row r="85" spans="1:16" x14ac:dyDescent="0.3">
      <c r="A85" t="s">
        <v>95</v>
      </c>
      <c r="B85" t="s">
        <v>166</v>
      </c>
      <c r="C85">
        <v>1</v>
      </c>
      <c r="D85">
        <v>3</v>
      </c>
      <c r="E85">
        <v>3</v>
      </c>
      <c r="F85">
        <v>4</v>
      </c>
      <c r="G85">
        <v>5</v>
      </c>
      <c r="H85">
        <v>5</v>
      </c>
      <c r="I85">
        <v>5</v>
      </c>
      <c r="J85">
        <v>1</v>
      </c>
      <c r="K85">
        <v>1</v>
      </c>
      <c r="L85">
        <v>5</v>
      </c>
      <c r="M85">
        <v>3</v>
      </c>
      <c r="N85">
        <v>2</v>
      </c>
      <c r="O85">
        <v>5</v>
      </c>
      <c r="P85">
        <v>1</v>
      </c>
    </row>
    <row r="86" spans="1:16" x14ac:dyDescent="0.3">
      <c r="A86" t="s">
        <v>96</v>
      </c>
      <c r="B86" t="s">
        <v>165</v>
      </c>
      <c r="C86">
        <v>4</v>
      </c>
      <c r="D86">
        <v>2</v>
      </c>
      <c r="E86">
        <v>1</v>
      </c>
      <c r="F86">
        <v>2</v>
      </c>
      <c r="G86">
        <v>2</v>
      </c>
      <c r="H86">
        <v>5</v>
      </c>
      <c r="I86">
        <v>5</v>
      </c>
      <c r="J86">
        <v>3</v>
      </c>
      <c r="K86">
        <v>1</v>
      </c>
      <c r="L86">
        <v>5</v>
      </c>
      <c r="M86">
        <v>5</v>
      </c>
      <c r="N86">
        <v>4</v>
      </c>
      <c r="O86">
        <v>5</v>
      </c>
      <c r="P86">
        <v>1</v>
      </c>
    </row>
    <row r="87" spans="1:16" x14ac:dyDescent="0.3">
      <c r="A87" t="s">
        <v>97</v>
      </c>
      <c r="B87" t="s">
        <v>166</v>
      </c>
      <c r="C87">
        <v>1</v>
      </c>
      <c r="D87">
        <v>2</v>
      </c>
      <c r="E87">
        <v>1</v>
      </c>
      <c r="F87">
        <v>5</v>
      </c>
      <c r="G87">
        <v>4</v>
      </c>
      <c r="H87">
        <v>2</v>
      </c>
      <c r="I87">
        <v>5</v>
      </c>
      <c r="J87">
        <v>5</v>
      </c>
      <c r="K87">
        <v>5</v>
      </c>
      <c r="L87">
        <v>2</v>
      </c>
      <c r="M87">
        <v>3</v>
      </c>
      <c r="N87">
        <v>4</v>
      </c>
      <c r="O87">
        <v>2</v>
      </c>
      <c r="P87">
        <v>5</v>
      </c>
    </row>
    <row r="88" spans="1:16" x14ac:dyDescent="0.3">
      <c r="A88" t="s">
        <v>98</v>
      </c>
      <c r="B88" t="s">
        <v>165</v>
      </c>
      <c r="C88">
        <v>3</v>
      </c>
      <c r="D88">
        <v>4</v>
      </c>
      <c r="E88">
        <v>3</v>
      </c>
      <c r="F88">
        <v>3</v>
      </c>
      <c r="G88">
        <v>1</v>
      </c>
      <c r="H88">
        <v>1</v>
      </c>
      <c r="I88">
        <v>4</v>
      </c>
      <c r="J88">
        <v>4</v>
      </c>
      <c r="K88">
        <v>4</v>
      </c>
      <c r="L88">
        <v>2</v>
      </c>
      <c r="M88">
        <v>2</v>
      </c>
      <c r="N88">
        <v>1</v>
      </c>
      <c r="O88">
        <v>2</v>
      </c>
      <c r="P88">
        <v>4</v>
      </c>
    </row>
    <row r="89" spans="1:16" x14ac:dyDescent="0.3">
      <c r="A89" t="s">
        <v>99</v>
      </c>
      <c r="B89" t="s">
        <v>165</v>
      </c>
      <c r="C89">
        <v>1</v>
      </c>
      <c r="D89">
        <v>4</v>
      </c>
      <c r="E89">
        <v>2</v>
      </c>
      <c r="F89">
        <v>4</v>
      </c>
      <c r="G89">
        <v>5</v>
      </c>
      <c r="H89">
        <v>3</v>
      </c>
      <c r="I89">
        <v>2</v>
      </c>
      <c r="J89">
        <v>5</v>
      </c>
      <c r="K89">
        <v>4</v>
      </c>
      <c r="L89">
        <v>4</v>
      </c>
      <c r="M89">
        <v>4</v>
      </c>
      <c r="N89">
        <v>1</v>
      </c>
      <c r="O89">
        <v>4</v>
      </c>
      <c r="P89">
        <v>4</v>
      </c>
    </row>
    <row r="90" spans="1:16" x14ac:dyDescent="0.3">
      <c r="A90" t="s">
        <v>100</v>
      </c>
      <c r="B90" t="s">
        <v>166</v>
      </c>
      <c r="C90">
        <v>3</v>
      </c>
      <c r="D90">
        <v>2</v>
      </c>
      <c r="E90">
        <v>4</v>
      </c>
      <c r="F90">
        <v>2</v>
      </c>
      <c r="G90">
        <v>3</v>
      </c>
      <c r="H90">
        <v>4</v>
      </c>
      <c r="I90">
        <v>3</v>
      </c>
      <c r="J90">
        <v>1</v>
      </c>
      <c r="K90">
        <v>2</v>
      </c>
      <c r="L90">
        <v>4</v>
      </c>
      <c r="M90">
        <v>3</v>
      </c>
      <c r="N90">
        <v>4</v>
      </c>
      <c r="O90">
        <v>4</v>
      </c>
      <c r="P90">
        <v>2</v>
      </c>
    </row>
    <row r="91" spans="1:16" x14ac:dyDescent="0.3">
      <c r="A91" t="s">
        <v>101</v>
      </c>
      <c r="B91" t="s">
        <v>166</v>
      </c>
      <c r="C91">
        <v>3</v>
      </c>
      <c r="D91">
        <v>4</v>
      </c>
      <c r="E91">
        <v>4</v>
      </c>
      <c r="F91">
        <v>4</v>
      </c>
      <c r="G91">
        <v>5</v>
      </c>
      <c r="H91">
        <v>1</v>
      </c>
      <c r="I91">
        <v>3</v>
      </c>
      <c r="J91">
        <v>1</v>
      </c>
      <c r="K91">
        <v>4</v>
      </c>
      <c r="L91">
        <v>1</v>
      </c>
      <c r="M91">
        <v>2</v>
      </c>
      <c r="N91">
        <v>1</v>
      </c>
      <c r="O91">
        <v>1</v>
      </c>
      <c r="P91">
        <v>4</v>
      </c>
    </row>
    <row r="92" spans="1:16" x14ac:dyDescent="0.3">
      <c r="A92" t="s">
        <v>102</v>
      </c>
      <c r="B92" t="s">
        <v>166</v>
      </c>
      <c r="C92">
        <v>1</v>
      </c>
      <c r="D92">
        <v>1</v>
      </c>
      <c r="E92">
        <v>2</v>
      </c>
      <c r="F92">
        <v>5</v>
      </c>
      <c r="G92">
        <v>5</v>
      </c>
      <c r="H92">
        <v>5</v>
      </c>
      <c r="I92">
        <v>3</v>
      </c>
      <c r="J92">
        <v>1</v>
      </c>
      <c r="K92">
        <v>4</v>
      </c>
      <c r="L92">
        <v>1</v>
      </c>
      <c r="M92">
        <v>4</v>
      </c>
      <c r="N92">
        <v>3</v>
      </c>
      <c r="O92">
        <v>1</v>
      </c>
      <c r="P92">
        <v>2</v>
      </c>
    </row>
    <row r="93" spans="1:16" x14ac:dyDescent="0.3">
      <c r="A93" t="s">
        <v>103</v>
      </c>
      <c r="B93" t="s">
        <v>166</v>
      </c>
      <c r="C93">
        <v>2</v>
      </c>
      <c r="D93">
        <v>3</v>
      </c>
      <c r="E93">
        <v>4</v>
      </c>
      <c r="F93">
        <v>3</v>
      </c>
      <c r="G93">
        <v>2</v>
      </c>
      <c r="H93">
        <v>5</v>
      </c>
      <c r="I93">
        <v>3</v>
      </c>
      <c r="J93">
        <v>3</v>
      </c>
      <c r="K93">
        <v>2</v>
      </c>
      <c r="L93">
        <v>2</v>
      </c>
      <c r="M93">
        <v>5</v>
      </c>
      <c r="N93">
        <v>2</v>
      </c>
      <c r="O93">
        <v>1</v>
      </c>
      <c r="P93">
        <v>2</v>
      </c>
    </row>
    <row r="94" spans="1:16" x14ac:dyDescent="0.3">
      <c r="A94" t="s">
        <v>104</v>
      </c>
      <c r="B94" t="s">
        <v>165</v>
      </c>
      <c r="C94">
        <v>1</v>
      </c>
      <c r="D94">
        <v>3</v>
      </c>
      <c r="E94">
        <v>4</v>
      </c>
      <c r="F94">
        <v>2</v>
      </c>
      <c r="G94">
        <v>1</v>
      </c>
      <c r="H94">
        <v>1</v>
      </c>
      <c r="I94">
        <v>3</v>
      </c>
      <c r="J94">
        <v>2</v>
      </c>
      <c r="K94">
        <v>1</v>
      </c>
      <c r="L94">
        <v>3</v>
      </c>
      <c r="M94">
        <v>3</v>
      </c>
      <c r="N94">
        <v>1</v>
      </c>
      <c r="O94">
        <v>1</v>
      </c>
      <c r="P94">
        <v>1</v>
      </c>
    </row>
    <row r="95" spans="1:16" x14ac:dyDescent="0.3">
      <c r="A95" t="s">
        <v>105</v>
      </c>
      <c r="B95" t="s">
        <v>165</v>
      </c>
      <c r="C95">
        <v>1</v>
      </c>
      <c r="D95">
        <v>3</v>
      </c>
      <c r="E95">
        <v>4</v>
      </c>
      <c r="F95">
        <v>1</v>
      </c>
      <c r="G95">
        <v>2</v>
      </c>
      <c r="H95">
        <v>2</v>
      </c>
      <c r="I95">
        <v>2</v>
      </c>
      <c r="J95">
        <v>1</v>
      </c>
      <c r="K95">
        <v>3</v>
      </c>
      <c r="L95">
        <v>4</v>
      </c>
      <c r="M95">
        <v>5</v>
      </c>
      <c r="N95">
        <v>2</v>
      </c>
      <c r="O95">
        <v>4</v>
      </c>
      <c r="P95">
        <v>3</v>
      </c>
    </row>
    <row r="96" spans="1:16" x14ac:dyDescent="0.3">
      <c r="A96" t="s">
        <v>106</v>
      </c>
      <c r="B96" t="s">
        <v>165</v>
      </c>
      <c r="C96">
        <v>1</v>
      </c>
      <c r="D96">
        <v>4</v>
      </c>
      <c r="E96">
        <v>4</v>
      </c>
      <c r="F96">
        <v>3</v>
      </c>
      <c r="G96">
        <v>4</v>
      </c>
      <c r="H96">
        <v>3</v>
      </c>
      <c r="I96">
        <v>5</v>
      </c>
      <c r="J96">
        <v>4</v>
      </c>
      <c r="K96">
        <v>5</v>
      </c>
      <c r="L96">
        <v>3</v>
      </c>
      <c r="M96">
        <v>4</v>
      </c>
      <c r="N96">
        <v>2</v>
      </c>
      <c r="O96">
        <v>3</v>
      </c>
      <c r="P96">
        <v>5</v>
      </c>
    </row>
    <row r="97" spans="1:16" x14ac:dyDescent="0.3">
      <c r="A97" t="s">
        <v>107</v>
      </c>
      <c r="B97" t="s">
        <v>166</v>
      </c>
      <c r="C97">
        <v>1</v>
      </c>
      <c r="D97">
        <v>4</v>
      </c>
      <c r="E97">
        <v>3</v>
      </c>
      <c r="F97">
        <v>5</v>
      </c>
      <c r="G97">
        <v>5</v>
      </c>
      <c r="H97">
        <v>4</v>
      </c>
      <c r="I97">
        <v>4</v>
      </c>
      <c r="J97">
        <v>3</v>
      </c>
      <c r="K97">
        <v>2</v>
      </c>
      <c r="L97">
        <v>4</v>
      </c>
      <c r="M97">
        <v>2</v>
      </c>
      <c r="N97">
        <v>1</v>
      </c>
      <c r="O97">
        <v>4</v>
      </c>
      <c r="P97">
        <v>2</v>
      </c>
    </row>
    <row r="98" spans="1:16" x14ac:dyDescent="0.3">
      <c r="A98" t="s">
        <v>108</v>
      </c>
      <c r="B98" t="s">
        <v>165</v>
      </c>
      <c r="C98">
        <v>1</v>
      </c>
      <c r="D98">
        <v>3</v>
      </c>
      <c r="E98">
        <v>4</v>
      </c>
      <c r="F98">
        <v>2</v>
      </c>
      <c r="G98">
        <v>1</v>
      </c>
      <c r="H98">
        <v>1</v>
      </c>
      <c r="I98">
        <v>3</v>
      </c>
      <c r="J98">
        <v>2</v>
      </c>
      <c r="K98">
        <v>1</v>
      </c>
      <c r="L98">
        <v>3</v>
      </c>
      <c r="M98">
        <v>3</v>
      </c>
      <c r="N98">
        <v>1</v>
      </c>
      <c r="O98">
        <v>1</v>
      </c>
      <c r="P98">
        <v>1</v>
      </c>
    </row>
    <row r="99" spans="1:16" x14ac:dyDescent="0.3">
      <c r="A99" t="s">
        <v>109</v>
      </c>
      <c r="B99" t="s">
        <v>165</v>
      </c>
      <c r="C99">
        <v>1</v>
      </c>
      <c r="D99">
        <v>3</v>
      </c>
      <c r="E99">
        <v>4</v>
      </c>
      <c r="F99">
        <v>1</v>
      </c>
      <c r="G99">
        <v>2</v>
      </c>
      <c r="H99">
        <v>2</v>
      </c>
      <c r="I99">
        <v>2</v>
      </c>
      <c r="J99">
        <v>1</v>
      </c>
      <c r="K99">
        <v>3</v>
      </c>
      <c r="L99">
        <v>4</v>
      </c>
      <c r="M99">
        <v>5</v>
      </c>
      <c r="N99">
        <v>2</v>
      </c>
      <c r="O99">
        <v>4</v>
      </c>
      <c r="P99">
        <v>3</v>
      </c>
    </row>
    <row r="100" spans="1:16" x14ac:dyDescent="0.3">
      <c r="A100" t="s">
        <v>110</v>
      </c>
      <c r="B100" t="s">
        <v>165</v>
      </c>
      <c r="C100">
        <v>1</v>
      </c>
      <c r="D100">
        <v>4</v>
      </c>
      <c r="E100">
        <v>4</v>
      </c>
      <c r="F100">
        <v>3</v>
      </c>
      <c r="G100">
        <v>4</v>
      </c>
      <c r="H100">
        <v>3</v>
      </c>
      <c r="I100">
        <v>5</v>
      </c>
      <c r="J100">
        <v>4</v>
      </c>
      <c r="K100">
        <v>5</v>
      </c>
      <c r="L100">
        <v>3</v>
      </c>
      <c r="M100">
        <v>4</v>
      </c>
      <c r="N100">
        <v>2</v>
      </c>
      <c r="O100">
        <v>3</v>
      </c>
      <c r="P100">
        <v>5</v>
      </c>
    </row>
    <row r="101" spans="1:16" x14ac:dyDescent="0.3">
      <c r="A101" t="s">
        <v>111</v>
      </c>
      <c r="B101" t="s">
        <v>166</v>
      </c>
      <c r="C101">
        <v>1</v>
      </c>
      <c r="D101">
        <v>4</v>
      </c>
      <c r="E101">
        <v>3</v>
      </c>
      <c r="F101">
        <v>5</v>
      </c>
      <c r="G101">
        <v>5</v>
      </c>
      <c r="H101">
        <v>4</v>
      </c>
      <c r="I101">
        <v>4</v>
      </c>
      <c r="J101">
        <v>3</v>
      </c>
      <c r="K101">
        <v>2</v>
      </c>
      <c r="L101">
        <v>4</v>
      </c>
      <c r="M101">
        <v>2</v>
      </c>
      <c r="N101">
        <v>1</v>
      </c>
      <c r="O101">
        <v>4</v>
      </c>
      <c r="P101">
        <v>2</v>
      </c>
    </row>
    <row r="102" spans="1:16" x14ac:dyDescent="0.3">
      <c r="A102" t="s">
        <v>112</v>
      </c>
      <c r="B102" t="s">
        <v>166</v>
      </c>
      <c r="C102">
        <v>3</v>
      </c>
      <c r="D102">
        <v>4</v>
      </c>
      <c r="E102">
        <v>4</v>
      </c>
      <c r="F102">
        <v>4</v>
      </c>
      <c r="G102">
        <v>5</v>
      </c>
      <c r="H102">
        <v>1</v>
      </c>
      <c r="I102">
        <v>4</v>
      </c>
      <c r="J102">
        <v>1</v>
      </c>
      <c r="K102">
        <v>4</v>
      </c>
      <c r="L102">
        <v>1</v>
      </c>
      <c r="M102">
        <v>2</v>
      </c>
      <c r="N102">
        <v>1</v>
      </c>
      <c r="O102">
        <v>1</v>
      </c>
      <c r="P102">
        <v>4</v>
      </c>
    </row>
    <row r="103" spans="1:16" x14ac:dyDescent="0.3">
      <c r="A103" t="s">
        <v>113</v>
      </c>
      <c r="B103" t="s">
        <v>165</v>
      </c>
      <c r="C103">
        <v>2</v>
      </c>
      <c r="D103">
        <v>1</v>
      </c>
      <c r="E103">
        <v>5</v>
      </c>
      <c r="F103">
        <v>5</v>
      </c>
      <c r="G103">
        <v>5</v>
      </c>
      <c r="H103">
        <v>1</v>
      </c>
      <c r="I103">
        <v>4</v>
      </c>
      <c r="J103">
        <v>1</v>
      </c>
      <c r="K103">
        <v>2</v>
      </c>
      <c r="L103">
        <v>2</v>
      </c>
      <c r="M103">
        <v>5</v>
      </c>
      <c r="N103">
        <v>2</v>
      </c>
      <c r="O103">
        <v>2</v>
      </c>
      <c r="P103">
        <v>2</v>
      </c>
    </row>
    <row r="104" spans="1:16" x14ac:dyDescent="0.3">
      <c r="A104" t="s">
        <v>114</v>
      </c>
      <c r="B104" t="s">
        <v>165</v>
      </c>
      <c r="C104">
        <v>4</v>
      </c>
      <c r="D104">
        <v>3</v>
      </c>
      <c r="E104">
        <v>3</v>
      </c>
      <c r="F104">
        <v>2</v>
      </c>
      <c r="G104">
        <v>1</v>
      </c>
      <c r="H104">
        <v>2</v>
      </c>
      <c r="I104">
        <v>4</v>
      </c>
      <c r="J104">
        <v>2</v>
      </c>
      <c r="K104">
        <v>1</v>
      </c>
      <c r="L104">
        <v>4</v>
      </c>
      <c r="M104">
        <v>4</v>
      </c>
      <c r="N104">
        <v>2</v>
      </c>
      <c r="O104">
        <v>4</v>
      </c>
      <c r="P104">
        <v>1</v>
      </c>
    </row>
    <row r="105" spans="1:16" x14ac:dyDescent="0.3">
      <c r="A105" t="s">
        <v>115</v>
      </c>
      <c r="B105" t="s">
        <v>166</v>
      </c>
      <c r="C105">
        <v>2</v>
      </c>
      <c r="D105">
        <v>1</v>
      </c>
      <c r="E105">
        <v>4</v>
      </c>
      <c r="F105">
        <v>5</v>
      </c>
      <c r="G105">
        <v>5</v>
      </c>
      <c r="H105">
        <v>5</v>
      </c>
      <c r="I105">
        <v>3</v>
      </c>
      <c r="J105">
        <v>1</v>
      </c>
      <c r="K105">
        <v>4</v>
      </c>
      <c r="L105">
        <v>1</v>
      </c>
      <c r="M105">
        <v>4</v>
      </c>
      <c r="N105">
        <v>3</v>
      </c>
      <c r="O105">
        <v>4</v>
      </c>
      <c r="P105">
        <v>4</v>
      </c>
    </row>
    <row r="106" spans="1:16" x14ac:dyDescent="0.3">
      <c r="A106" t="s">
        <v>116</v>
      </c>
      <c r="B106" t="s">
        <v>166</v>
      </c>
      <c r="C106">
        <v>4</v>
      </c>
      <c r="D106">
        <v>3</v>
      </c>
      <c r="E106">
        <v>4</v>
      </c>
      <c r="F106">
        <v>3</v>
      </c>
      <c r="G106">
        <v>2</v>
      </c>
      <c r="H106">
        <v>5</v>
      </c>
      <c r="I106">
        <v>3</v>
      </c>
      <c r="J106">
        <v>3</v>
      </c>
      <c r="K106">
        <v>2</v>
      </c>
      <c r="L106">
        <v>2</v>
      </c>
      <c r="M106">
        <v>5</v>
      </c>
      <c r="N106">
        <v>2</v>
      </c>
      <c r="O106">
        <v>4</v>
      </c>
      <c r="P106">
        <v>2</v>
      </c>
    </row>
    <row r="107" spans="1:16" x14ac:dyDescent="0.3">
      <c r="A107" t="s">
        <v>117</v>
      </c>
      <c r="B107" t="s">
        <v>166</v>
      </c>
      <c r="C107">
        <v>2</v>
      </c>
      <c r="D107">
        <v>3</v>
      </c>
      <c r="E107">
        <v>4</v>
      </c>
      <c r="F107">
        <v>2</v>
      </c>
      <c r="G107">
        <v>1</v>
      </c>
      <c r="H107">
        <v>1</v>
      </c>
      <c r="I107">
        <v>4</v>
      </c>
      <c r="J107">
        <v>2</v>
      </c>
      <c r="K107">
        <v>1</v>
      </c>
      <c r="L107">
        <v>3</v>
      </c>
      <c r="M107">
        <v>3</v>
      </c>
      <c r="N107">
        <v>1</v>
      </c>
      <c r="O107">
        <v>3</v>
      </c>
      <c r="P107">
        <v>1</v>
      </c>
    </row>
    <row r="108" spans="1:16" x14ac:dyDescent="0.3">
      <c r="A108" t="s">
        <v>118</v>
      </c>
      <c r="B108" t="s">
        <v>166</v>
      </c>
      <c r="C108">
        <v>1</v>
      </c>
      <c r="D108">
        <v>3</v>
      </c>
      <c r="E108">
        <v>5</v>
      </c>
      <c r="F108">
        <v>1</v>
      </c>
      <c r="G108">
        <v>2</v>
      </c>
      <c r="H108">
        <v>2</v>
      </c>
      <c r="I108">
        <v>4</v>
      </c>
      <c r="J108">
        <v>1</v>
      </c>
      <c r="K108">
        <v>3</v>
      </c>
      <c r="L108">
        <v>4</v>
      </c>
      <c r="M108">
        <v>2</v>
      </c>
      <c r="N108">
        <v>5</v>
      </c>
      <c r="O108">
        <v>4</v>
      </c>
      <c r="P108">
        <v>3</v>
      </c>
    </row>
    <row r="109" spans="1:16" x14ac:dyDescent="0.3">
      <c r="A109" t="s">
        <v>119</v>
      </c>
      <c r="B109" t="s">
        <v>165</v>
      </c>
      <c r="C109">
        <v>1</v>
      </c>
      <c r="D109">
        <v>4</v>
      </c>
      <c r="E109">
        <v>1</v>
      </c>
      <c r="F109">
        <v>3</v>
      </c>
      <c r="G109">
        <v>4</v>
      </c>
      <c r="H109">
        <v>3</v>
      </c>
      <c r="I109">
        <v>4</v>
      </c>
      <c r="J109">
        <v>4</v>
      </c>
      <c r="K109">
        <v>5</v>
      </c>
      <c r="L109">
        <v>3</v>
      </c>
      <c r="M109">
        <v>2</v>
      </c>
      <c r="N109">
        <v>1</v>
      </c>
      <c r="O109">
        <v>3</v>
      </c>
      <c r="P109">
        <v>3</v>
      </c>
    </row>
    <row r="110" spans="1:16" x14ac:dyDescent="0.3">
      <c r="A110" t="s">
        <v>120</v>
      </c>
      <c r="B110" t="s">
        <v>166</v>
      </c>
      <c r="C110">
        <v>3</v>
      </c>
      <c r="D110">
        <v>4</v>
      </c>
      <c r="E110">
        <v>3</v>
      </c>
      <c r="F110">
        <v>5</v>
      </c>
      <c r="G110">
        <v>5</v>
      </c>
      <c r="H110">
        <v>4</v>
      </c>
      <c r="I110">
        <v>4</v>
      </c>
      <c r="J110">
        <v>3</v>
      </c>
      <c r="K110">
        <v>2</v>
      </c>
      <c r="L110">
        <v>4</v>
      </c>
      <c r="M110">
        <v>1</v>
      </c>
      <c r="N110">
        <v>2</v>
      </c>
      <c r="O110">
        <v>4</v>
      </c>
      <c r="P110">
        <v>2</v>
      </c>
    </row>
    <row r="111" spans="1:16" x14ac:dyDescent="0.3">
      <c r="A111" t="s">
        <v>121</v>
      </c>
      <c r="B111" t="s">
        <v>165</v>
      </c>
      <c r="C111">
        <v>1</v>
      </c>
      <c r="D111">
        <v>5</v>
      </c>
      <c r="E111">
        <v>5</v>
      </c>
      <c r="F111">
        <v>3</v>
      </c>
      <c r="G111">
        <v>5</v>
      </c>
      <c r="H111">
        <v>3</v>
      </c>
      <c r="I111">
        <v>4</v>
      </c>
      <c r="J111">
        <v>2</v>
      </c>
      <c r="K111">
        <v>3</v>
      </c>
      <c r="L111">
        <v>2</v>
      </c>
      <c r="M111">
        <v>4</v>
      </c>
      <c r="N111">
        <v>3</v>
      </c>
      <c r="O111">
        <v>2</v>
      </c>
      <c r="P111">
        <v>3</v>
      </c>
    </row>
    <row r="112" spans="1:16" x14ac:dyDescent="0.3">
      <c r="A112" t="s">
        <v>122</v>
      </c>
      <c r="B112" t="s">
        <v>166</v>
      </c>
      <c r="C112">
        <v>1</v>
      </c>
      <c r="D112">
        <v>3</v>
      </c>
      <c r="E112">
        <v>5</v>
      </c>
      <c r="F112">
        <v>4</v>
      </c>
      <c r="G112">
        <v>5</v>
      </c>
      <c r="H112">
        <v>5</v>
      </c>
      <c r="I112">
        <v>5</v>
      </c>
      <c r="J112">
        <v>1</v>
      </c>
      <c r="K112">
        <v>1</v>
      </c>
      <c r="L112">
        <v>5</v>
      </c>
      <c r="M112">
        <v>3</v>
      </c>
      <c r="N112">
        <v>2</v>
      </c>
      <c r="O112">
        <v>5</v>
      </c>
      <c r="P112">
        <v>1</v>
      </c>
    </row>
    <row r="113" spans="1:16" x14ac:dyDescent="0.3">
      <c r="A113" t="s">
        <v>123</v>
      </c>
      <c r="B113" t="s">
        <v>165</v>
      </c>
      <c r="C113">
        <v>2</v>
      </c>
      <c r="D113">
        <v>2</v>
      </c>
      <c r="E113">
        <v>5</v>
      </c>
      <c r="F113">
        <v>2</v>
      </c>
      <c r="G113">
        <v>2</v>
      </c>
      <c r="H113">
        <v>5</v>
      </c>
      <c r="I113">
        <v>5</v>
      </c>
      <c r="J113">
        <v>3</v>
      </c>
      <c r="K113">
        <v>1</v>
      </c>
      <c r="L113">
        <v>5</v>
      </c>
      <c r="M113">
        <v>2</v>
      </c>
      <c r="N113">
        <v>4</v>
      </c>
      <c r="O113">
        <v>5</v>
      </c>
      <c r="P113">
        <v>1</v>
      </c>
    </row>
    <row r="114" spans="1:16" x14ac:dyDescent="0.3">
      <c r="A114" t="s">
        <v>124</v>
      </c>
      <c r="B114" t="s">
        <v>165</v>
      </c>
      <c r="C114">
        <v>3</v>
      </c>
      <c r="D114">
        <v>4</v>
      </c>
      <c r="E114">
        <v>1</v>
      </c>
      <c r="F114">
        <v>4</v>
      </c>
      <c r="G114">
        <v>5</v>
      </c>
      <c r="H114">
        <v>1</v>
      </c>
      <c r="I114">
        <v>3</v>
      </c>
      <c r="J114">
        <v>1</v>
      </c>
      <c r="K114">
        <v>4</v>
      </c>
      <c r="L114">
        <v>1</v>
      </c>
      <c r="M114">
        <v>2</v>
      </c>
      <c r="N114">
        <v>1</v>
      </c>
      <c r="O114">
        <v>1</v>
      </c>
      <c r="P114">
        <v>4</v>
      </c>
    </row>
    <row r="115" spans="1:16" x14ac:dyDescent="0.3">
      <c r="A115" t="s">
        <v>125</v>
      </c>
      <c r="B115" t="s">
        <v>165</v>
      </c>
      <c r="C115">
        <v>2</v>
      </c>
      <c r="D115">
        <v>1</v>
      </c>
      <c r="E115">
        <v>5</v>
      </c>
      <c r="F115">
        <v>5</v>
      </c>
      <c r="G115">
        <v>5</v>
      </c>
      <c r="H115">
        <v>1</v>
      </c>
      <c r="I115">
        <v>2</v>
      </c>
      <c r="J115">
        <v>1</v>
      </c>
      <c r="K115">
        <v>2</v>
      </c>
      <c r="L115">
        <v>2</v>
      </c>
      <c r="M115">
        <v>5</v>
      </c>
      <c r="N115">
        <v>2</v>
      </c>
      <c r="O115">
        <v>2</v>
      </c>
      <c r="P115">
        <v>2</v>
      </c>
    </row>
    <row r="116" spans="1:16" x14ac:dyDescent="0.3">
      <c r="A116" t="s">
        <v>126</v>
      </c>
      <c r="B116" t="s">
        <v>165</v>
      </c>
      <c r="C116">
        <v>4</v>
      </c>
      <c r="D116">
        <v>3</v>
      </c>
      <c r="E116">
        <v>4</v>
      </c>
      <c r="F116">
        <v>2</v>
      </c>
      <c r="G116">
        <v>1</v>
      </c>
      <c r="H116">
        <v>2</v>
      </c>
      <c r="I116">
        <v>1</v>
      </c>
      <c r="J116">
        <v>2</v>
      </c>
      <c r="K116">
        <v>1</v>
      </c>
      <c r="L116">
        <v>4</v>
      </c>
      <c r="M116">
        <v>4</v>
      </c>
      <c r="N116">
        <v>1</v>
      </c>
      <c r="O116">
        <v>4</v>
      </c>
      <c r="P116">
        <v>2</v>
      </c>
    </row>
    <row r="117" spans="1:16" x14ac:dyDescent="0.3">
      <c r="A117" t="s">
        <v>127</v>
      </c>
      <c r="B117" t="s">
        <v>166</v>
      </c>
      <c r="C117">
        <v>1</v>
      </c>
      <c r="D117">
        <v>1</v>
      </c>
      <c r="E117">
        <v>2</v>
      </c>
      <c r="F117">
        <v>5</v>
      </c>
      <c r="G117">
        <v>5</v>
      </c>
      <c r="H117">
        <v>5</v>
      </c>
      <c r="I117">
        <v>3</v>
      </c>
      <c r="J117">
        <v>1</v>
      </c>
      <c r="K117">
        <v>4</v>
      </c>
      <c r="L117">
        <v>1</v>
      </c>
      <c r="M117">
        <v>4</v>
      </c>
      <c r="N117">
        <v>3</v>
      </c>
      <c r="O117">
        <v>1</v>
      </c>
      <c r="P117">
        <v>2</v>
      </c>
    </row>
    <row r="118" spans="1:16" x14ac:dyDescent="0.3">
      <c r="A118" t="s">
        <v>128</v>
      </c>
      <c r="B118" t="s">
        <v>166</v>
      </c>
      <c r="C118">
        <v>2</v>
      </c>
      <c r="D118">
        <v>3</v>
      </c>
      <c r="E118">
        <v>4</v>
      </c>
      <c r="F118">
        <v>3</v>
      </c>
      <c r="G118">
        <v>2</v>
      </c>
      <c r="H118">
        <v>5</v>
      </c>
      <c r="I118">
        <v>3</v>
      </c>
      <c r="J118">
        <v>3</v>
      </c>
      <c r="K118">
        <v>2</v>
      </c>
      <c r="L118">
        <v>2</v>
      </c>
      <c r="M118">
        <v>5</v>
      </c>
      <c r="N118">
        <v>2</v>
      </c>
      <c r="O118">
        <v>1</v>
      </c>
      <c r="P118">
        <v>2</v>
      </c>
    </row>
    <row r="119" spans="1:16" x14ac:dyDescent="0.3">
      <c r="A119" t="s">
        <v>129</v>
      </c>
      <c r="B119" t="s">
        <v>165</v>
      </c>
      <c r="C119">
        <v>1</v>
      </c>
      <c r="D119">
        <v>3</v>
      </c>
      <c r="E119">
        <v>4</v>
      </c>
      <c r="F119">
        <v>2</v>
      </c>
      <c r="G119">
        <v>1</v>
      </c>
      <c r="H119">
        <v>1</v>
      </c>
      <c r="I119">
        <v>3</v>
      </c>
      <c r="J119">
        <v>2</v>
      </c>
      <c r="K119">
        <v>1</v>
      </c>
      <c r="L119">
        <v>3</v>
      </c>
      <c r="M119">
        <v>3</v>
      </c>
      <c r="N119">
        <v>1</v>
      </c>
      <c r="O119">
        <v>1</v>
      </c>
      <c r="P119">
        <v>1</v>
      </c>
    </row>
    <row r="120" spans="1:16" x14ac:dyDescent="0.3">
      <c r="A120" t="s">
        <v>130</v>
      </c>
      <c r="B120" t="s">
        <v>165</v>
      </c>
      <c r="C120">
        <v>1</v>
      </c>
      <c r="D120">
        <v>3</v>
      </c>
      <c r="E120">
        <v>4</v>
      </c>
      <c r="F120">
        <v>1</v>
      </c>
      <c r="G120">
        <v>2</v>
      </c>
      <c r="H120">
        <v>2</v>
      </c>
      <c r="I120">
        <v>3</v>
      </c>
      <c r="J120">
        <v>1</v>
      </c>
      <c r="K120">
        <v>3</v>
      </c>
      <c r="L120">
        <v>4</v>
      </c>
      <c r="M120">
        <v>5</v>
      </c>
      <c r="N120">
        <v>2</v>
      </c>
      <c r="O120">
        <v>4</v>
      </c>
      <c r="P120">
        <v>3</v>
      </c>
    </row>
    <row r="121" spans="1:16" x14ac:dyDescent="0.3">
      <c r="A121" t="s">
        <v>131</v>
      </c>
      <c r="B121" t="s">
        <v>165</v>
      </c>
      <c r="C121">
        <v>1</v>
      </c>
      <c r="D121">
        <v>4</v>
      </c>
      <c r="E121">
        <v>4</v>
      </c>
      <c r="F121">
        <v>3</v>
      </c>
      <c r="G121">
        <v>4</v>
      </c>
      <c r="H121">
        <v>3</v>
      </c>
      <c r="I121">
        <v>5</v>
      </c>
      <c r="J121">
        <v>4</v>
      </c>
      <c r="K121">
        <v>5</v>
      </c>
      <c r="L121">
        <v>3</v>
      </c>
      <c r="M121">
        <v>4</v>
      </c>
      <c r="N121">
        <v>2</v>
      </c>
      <c r="O121">
        <v>3</v>
      </c>
      <c r="P121">
        <v>5</v>
      </c>
    </row>
    <row r="122" spans="1:16" x14ac:dyDescent="0.3">
      <c r="A122" t="s">
        <v>132</v>
      </c>
      <c r="B122" t="s">
        <v>166</v>
      </c>
      <c r="C122">
        <v>1</v>
      </c>
      <c r="D122">
        <v>4</v>
      </c>
      <c r="E122">
        <v>3</v>
      </c>
      <c r="F122">
        <v>5</v>
      </c>
      <c r="G122">
        <v>5</v>
      </c>
      <c r="H122">
        <v>4</v>
      </c>
      <c r="I122">
        <v>4</v>
      </c>
      <c r="J122">
        <v>3</v>
      </c>
      <c r="K122">
        <v>2</v>
      </c>
      <c r="L122">
        <v>4</v>
      </c>
      <c r="M122">
        <v>2</v>
      </c>
      <c r="N122">
        <v>1</v>
      </c>
      <c r="O122">
        <v>4</v>
      </c>
      <c r="P122">
        <v>2</v>
      </c>
    </row>
    <row r="123" spans="1:16" x14ac:dyDescent="0.3">
      <c r="A123" t="s">
        <v>133</v>
      </c>
      <c r="B123" t="s">
        <v>165</v>
      </c>
      <c r="C123">
        <v>1</v>
      </c>
      <c r="D123">
        <v>5</v>
      </c>
      <c r="E123">
        <v>3</v>
      </c>
      <c r="F123">
        <v>3</v>
      </c>
      <c r="G123">
        <v>5</v>
      </c>
      <c r="H123">
        <v>3</v>
      </c>
      <c r="I123">
        <v>4</v>
      </c>
      <c r="J123">
        <v>2</v>
      </c>
      <c r="K123">
        <v>3</v>
      </c>
      <c r="L123">
        <v>2</v>
      </c>
      <c r="M123">
        <v>3</v>
      </c>
      <c r="N123">
        <v>3</v>
      </c>
      <c r="O123">
        <v>2</v>
      </c>
      <c r="P123">
        <v>3</v>
      </c>
    </row>
    <row r="124" spans="1:16" x14ac:dyDescent="0.3">
      <c r="A124" t="s">
        <v>134</v>
      </c>
      <c r="B124" t="s">
        <v>166</v>
      </c>
      <c r="C124">
        <v>1</v>
      </c>
      <c r="D124">
        <v>3</v>
      </c>
      <c r="E124">
        <v>3</v>
      </c>
      <c r="F124">
        <v>4</v>
      </c>
      <c r="G124">
        <v>5</v>
      </c>
      <c r="H124">
        <v>5</v>
      </c>
      <c r="I124">
        <v>5</v>
      </c>
      <c r="J124">
        <v>1</v>
      </c>
      <c r="K124">
        <v>1</v>
      </c>
      <c r="L124">
        <v>5</v>
      </c>
      <c r="M124">
        <v>3</v>
      </c>
      <c r="N124">
        <v>2</v>
      </c>
      <c r="O124">
        <v>5</v>
      </c>
      <c r="P124">
        <v>1</v>
      </c>
    </row>
    <row r="125" spans="1:16" x14ac:dyDescent="0.3">
      <c r="A125" t="s">
        <v>135</v>
      </c>
      <c r="B125" t="s">
        <v>165</v>
      </c>
      <c r="C125">
        <v>4</v>
      </c>
      <c r="D125">
        <v>2</v>
      </c>
      <c r="E125">
        <v>1</v>
      </c>
      <c r="F125">
        <v>2</v>
      </c>
      <c r="G125">
        <v>2</v>
      </c>
      <c r="H125">
        <v>5</v>
      </c>
      <c r="I125">
        <v>5</v>
      </c>
      <c r="J125">
        <v>3</v>
      </c>
      <c r="K125">
        <v>1</v>
      </c>
      <c r="L125">
        <v>5</v>
      </c>
      <c r="M125">
        <v>2</v>
      </c>
      <c r="N125">
        <v>4</v>
      </c>
      <c r="O125">
        <v>5</v>
      </c>
      <c r="P125">
        <v>1</v>
      </c>
    </row>
    <row r="126" spans="1:16" x14ac:dyDescent="0.3">
      <c r="A126" t="s">
        <v>136</v>
      </c>
      <c r="B126" t="s">
        <v>166</v>
      </c>
      <c r="C126">
        <v>1</v>
      </c>
      <c r="D126">
        <v>2</v>
      </c>
      <c r="E126">
        <v>1</v>
      </c>
      <c r="F126">
        <v>5</v>
      </c>
      <c r="G126">
        <v>4</v>
      </c>
      <c r="H126">
        <v>2</v>
      </c>
      <c r="I126">
        <v>3</v>
      </c>
      <c r="J126">
        <v>5</v>
      </c>
      <c r="K126">
        <v>5</v>
      </c>
      <c r="L126">
        <v>2</v>
      </c>
      <c r="M126">
        <v>3</v>
      </c>
      <c r="N126">
        <v>4</v>
      </c>
      <c r="O126">
        <v>2</v>
      </c>
      <c r="P126">
        <v>5</v>
      </c>
    </row>
    <row r="127" spans="1:16" x14ac:dyDescent="0.3">
      <c r="A127" t="s">
        <v>137</v>
      </c>
      <c r="B127" t="s">
        <v>165</v>
      </c>
      <c r="C127">
        <v>3</v>
      </c>
      <c r="D127">
        <v>4</v>
      </c>
      <c r="E127">
        <v>3</v>
      </c>
      <c r="F127">
        <v>3</v>
      </c>
      <c r="G127">
        <v>1</v>
      </c>
      <c r="H127">
        <v>1</v>
      </c>
      <c r="I127">
        <v>4</v>
      </c>
      <c r="J127">
        <v>4</v>
      </c>
      <c r="K127">
        <v>4</v>
      </c>
      <c r="L127">
        <v>2</v>
      </c>
      <c r="M127">
        <v>5</v>
      </c>
      <c r="N127">
        <v>1</v>
      </c>
      <c r="O127">
        <v>2</v>
      </c>
      <c r="P127">
        <v>4</v>
      </c>
    </row>
    <row r="128" spans="1:16" x14ac:dyDescent="0.3">
      <c r="A128" t="s">
        <v>138</v>
      </c>
      <c r="B128" t="s">
        <v>165</v>
      </c>
      <c r="C128">
        <v>1</v>
      </c>
      <c r="D128">
        <v>4</v>
      </c>
      <c r="E128">
        <v>2</v>
      </c>
      <c r="F128">
        <v>4</v>
      </c>
      <c r="G128">
        <v>5</v>
      </c>
      <c r="H128">
        <v>3</v>
      </c>
      <c r="I128">
        <v>2</v>
      </c>
      <c r="J128">
        <v>5</v>
      </c>
      <c r="K128">
        <v>4</v>
      </c>
      <c r="L128">
        <v>4</v>
      </c>
      <c r="M128">
        <v>1</v>
      </c>
      <c r="N128">
        <v>1</v>
      </c>
      <c r="O128">
        <v>4</v>
      </c>
      <c r="P128">
        <v>4</v>
      </c>
    </row>
    <row r="129" spans="1:16" x14ac:dyDescent="0.3">
      <c r="A129" t="s">
        <v>139</v>
      </c>
      <c r="B129" t="s">
        <v>166</v>
      </c>
      <c r="C129">
        <v>3</v>
      </c>
      <c r="D129">
        <v>2</v>
      </c>
      <c r="E129">
        <v>4</v>
      </c>
      <c r="F129">
        <v>2</v>
      </c>
      <c r="G129">
        <v>3</v>
      </c>
      <c r="H129">
        <v>4</v>
      </c>
      <c r="I129">
        <v>5</v>
      </c>
      <c r="J129">
        <v>1</v>
      </c>
      <c r="K129">
        <v>2</v>
      </c>
      <c r="L129">
        <v>4</v>
      </c>
      <c r="M129">
        <v>3</v>
      </c>
      <c r="N129">
        <v>4</v>
      </c>
      <c r="O129">
        <v>4</v>
      </c>
      <c r="P129">
        <v>2</v>
      </c>
    </row>
    <row r="130" spans="1:16" x14ac:dyDescent="0.3">
      <c r="A130" t="s">
        <v>140</v>
      </c>
      <c r="B130" t="s">
        <v>166</v>
      </c>
      <c r="C130">
        <v>3</v>
      </c>
      <c r="D130">
        <v>3</v>
      </c>
      <c r="E130">
        <v>4</v>
      </c>
      <c r="F130">
        <v>4</v>
      </c>
      <c r="G130">
        <v>5</v>
      </c>
      <c r="H130">
        <v>1</v>
      </c>
      <c r="I130">
        <v>3</v>
      </c>
      <c r="J130">
        <v>1</v>
      </c>
      <c r="K130">
        <v>3</v>
      </c>
      <c r="L130">
        <v>1</v>
      </c>
      <c r="M130">
        <v>2</v>
      </c>
      <c r="N130">
        <v>1</v>
      </c>
      <c r="O130">
        <v>1</v>
      </c>
      <c r="P130">
        <v>4</v>
      </c>
    </row>
    <row r="131" spans="1:16" x14ac:dyDescent="0.3">
      <c r="A131" t="s">
        <v>141</v>
      </c>
      <c r="B131" t="s">
        <v>166</v>
      </c>
      <c r="C131">
        <v>1</v>
      </c>
      <c r="D131">
        <v>1</v>
      </c>
      <c r="E131">
        <v>2</v>
      </c>
      <c r="F131">
        <v>5</v>
      </c>
      <c r="G131">
        <v>5</v>
      </c>
      <c r="H131">
        <v>5</v>
      </c>
      <c r="I131">
        <v>3</v>
      </c>
      <c r="J131">
        <v>1</v>
      </c>
      <c r="K131">
        <v>4</v>
      </c>
      <c r="L131">
        <v>1</v>
      </c>
      <c r="M131">
        <v>4</v>
      </c>
      <c r="N131">
        <v>3</v>
      </c>
      <c r="O131">
        <v>1</v>
      </c>
      <c r="P131">
        <v>2</v>
      </c>
    </row>
    <row r="132" spans="1:16" x14ac:dyDescent="0.3">
      <c r="A132" t="s">
        <v>142</v>
      </c>
      <c r="B132" t="s">
        <v>166</v>
      </c>
      <c r="C132">
        <v>2</v>
      </c>
      <c r="D132">
        <v>3</v>
      </c>
      <c r="E132">
        <v>4</v>
      </c>
      <c r="F132">
        <v>3</v>
      </c>
      <c r="G132">
        <v>2</v>
      </c>
      <c r="H132">
        <v>5</v>
      </c>
      <c r="I132">
        <v>3</v>
      </c>
      <c r="J132">
        <v>3</v>
      </c>
      <c r="K132">
        <v>2</v>
      </c>
      <c r="L132">
        <v>2</v>
      </c>
      <c r="M132">
        <v>5</v>
      </c>
      <c r="N132">
        <v>2</v>
      </c>
      <c r="O132">
        <v>1</v>
      </c>
      <c r="P132">
        <v>2</v>
      </c>
    </row>
    <row r="133" spans="1:16" x14ac:dyDescent="0.3">
      <c r="A133" t="s">
        <v>143</v>
      </c>
      <c r="B133" t="s">
        <v>165</v>
      </c>
      <c r="C133">
        <v>1</v>
      </c>
      <c r="D133">
        <v>3</v>
      </c>
      <c r="E133">
        <v>4</v>
      </c>
      <c r="F133">
        <v>2</v>
      </c>
      <c r="G133">
        <v>1</v>
      </c>
      <c r="H133">
        <v>1</v>
      </c>
      <c r="I133">
        <v>3</v>
      </c>
      <c r="J133">
        <v>2</v>
      </c>
      <c r="K133">
        <v>1</v>
      </c>
      <c r="L133">
        <v>3</v>
      </c>
      <c r="M133">
        <v>3</v>
      </c>
      <c r="N133">
        <v>1</v>
      </c>
      <c r="O133">
        <v>1</v>
      </c>
      <c r="P133">
        <v>1</v>
      </c>
    </row>
    <row r="134" spans="1:16" x14ac:dyDescent="0.3">
      <c r="A134" t="s">
        <v>144</v>
      </c>
      <c r="B134" t="s">
        <v>165</v>
      </c>
      <c r="C134">
        <v>1</v>
      </c>
      <c r="D134">
        <v>3</v>
      </c>
      <c r="E134">
        <v>4</v>
      </c>
      <c r="F134">
        <v>1</v>
      </c>
      <c r="G134">
        <v>2</v>
      </c>
      <c r="H134">
        <v>2</v>
      </c>
      <c r="I134">
        <v>2</v>
      </c>
      <c r="J134">
        <v>1</v>
      </c>
      <c r="K134">
        <v>3</v>
      </c>
      <c r="L134">
        <v>4</v>
      </c>
      <c r="M134">
        <v>5</v>
      </c>
      <c r="N134">
        <v>2</v>
      </c>
      <c r="O134">
        <v>4</v>
      </c>
      <c r="P134">
        <v>3</v>
      </c>
    </row>
    <row r="135" spans="1:16" x14ac:dyDescent="0.3">
      <c r="A135" t="s">
        <v>145</v>
      </c>
      <c r="B135" t="s">
        <v>165</v>
      </c>
      <c r="C135">
        <v>1</v>
      </c>
      <c r="D135">
        <v>4</v>
      </c>
      <c r="E135">
        <v>4</v>
      </c>
      <c r="F135">
        <v>3</v>
      </c>
      <c r="G135">
        <v>4</v>
      </c>
      <c r="H135">
        <v>3</v>
      </c>
      <c r="I135">
        <v>5</v>
      </c>
      <c r="J135">
        <v>4</v>
      </c>
      <c r="K135">
        <v>5</v>
      </c>
      <c r="L135">
        <v>3</v>
      </c>
      <c r="M135">
        <v>4</v>
      </c>
      <c r="N135">
        <v>2</v>
      </c>
      <c r="O135">
        <v>3</v>
      </c>
      <c r="P135">
        <v>5</v>
      </c>
    </row>
    <row r="136" spans="1:16" x14ac:dyDescent="0.3">
      <c r="A136" t="s">
        <v>146</v>
      </c>
      <c r="B136" t="s">
        <v>165</v>
      </c>
      <c r="C136">
        <v>4</v>
      </c>
      <c r="D136">
        <v>3</v>
      </c>
      <c r="E136">
        <v>3</v>
      </c>
      <c r="F136">
        <v>2</v>
      </c>
      <c r="G136">
        <v>1</v>
      </c>
      <c r="H136">
        <v>2</v>
      </c>
      <c r="I136">
        <v>4</v>
      </c>
      <c r="J136">
        <v>2</v>
      </c>
      <c r="K136">
        <v>1</v>
      </c>
      <c r="L136">
        <v>4</v>
      </c>
      <c r="M136">
        <v>5</v>
      </c>
      <c r="N136">
        <v>2</v>
      </c>
      <c r="O136">
        <v>4</v>
      </c>
      <c r="P136">
        <v>1</v>
      </c>
    </row>
    <row r="137" spans="1:16" x14ac:dyDescent="0.3">
      <c r="A137" t="s">
        <v>147</v>
      </c>
      <c r="B137" t="s">
        <v>166</v>
      </c>
      <c r="C137">
        <v>2</v>
      </c>
      <c r="D137">
        <v>1</v>
      </c>
      <c r="E137">
        <v>4</v>
      </c>
      <c r="F137">
        <v>5</v>
      </c>
      <c r="G137">
        <v>5</v>
      </c>
      <c r="H137">
        <v>5</v>
      </c>
      <c r="I137">
        <v>3</v>
      </c>
      <c r="J137">
        <v>1</v>
      </c>
      <c r="K137">
        <v>3</v>
      </c>
      <c r="L137">
        <v>1</v>
      </c>
      <c r="M137">
        <v>4</v>
      </c>
      <c r="N137">
        <v>3</v>
      </c>
      <c r="O137">
        <v>4</v>
      </c>
      <c r="P137">
        <v>4</v>
      </c>
    </row>
    <row r="138" spans="1:16" x14ac:dyDescent="0.3">
      <c r="A138" t="s">
        <v>148</v>
      </c>
      <c r="B138" t="s">
        <v>166</v>
      </c>
      <c r="C138">
        <v>4</v>
      </c>
      <c r="D138">
        <v>3</v>
      </c>
      <c r="E138">
        <v>4</v>
      </c>
      <c r="F138">
        <v>3</v>
      </c>
      <c r="G138">
        <v>2</v>
      </c>
      <c r="H138">
        <v>5</v>
      </c>
      <c r="I138">
        <v>3</v>
      </c>
      <c r="J138">
        <v>3</v>
      </c>
      <c r="K138">
        <v>2</v>
      </c>
      <c r="L138">
        <v>2</v>
      </c>
      <c r="M138">
        <v>5</v>
      </c>
      <c r="N138">
        <v>2</v>
      </c>
      <c r="O138">
        <v>4</v>
      </c>
      <c r="P138">
        <v>2</v>
      </c>
    </row>
    <row r="139" spans="1:16" x14ac:dyDescent="0.3">
      <c r="A139" t="s">
        <v>149</v>
      </c>
      <c r="B139" t="s">
        <v>166</v>
      </c>
      <c r="C139">
        <v>2</v>
      </c>
      <c r="D139">
        <v>3</v>
      </c>
      <c r="E139">
        <v>4</v>
      </c>
      <c r="F139">
        <v>2</v>
      </c>
      <c r="G139">
        <v>1</v>
      </c>
      <c r="H139">
        <v>1</v>
      </c>
      <c r="I139">
        <v>4</v>
      </c>
      <c r="J139">
        <v>2</v>
      </c>
      <c r="K139">
        <v>1</v>
      </c>
      <c r="L139">
        <v>3</v>
      </c>
      <c r="M139">
        <v>3</v>
      </c>
      <c r="N139">
        <v>1</v>
      </c>
      <c r="O139">
        <v>3</v>
      </c>
      <c r="P139">
        <v>1</v>
      </c>
    </row>
    <row r="140" spans="1:16" x14ac:dyDescent="0.3">
      <c r="A140" t="s">
        <v>150</v>
      </c>
      <c r="B140" t="s">
        <v>166</v>
      </c>
      <c r="C140">
        <v>1</v>
      </c>
      <c r="D140">
        <v>3</v>
      </c>
      <c r="E140">
        <v>5</v>
      </c>
      <c r="F140">
        <v>1</v>
      </c>
      <c r="G140">
        <v>2</v>
      </c>
      <c r="H140">
        <v>2</v>
      </c>
      <c r="I140">
        <v>4</v>
      </c>
      <c r="J140">
        <v>1</v>
      </c>
      <c r="K140">
        <v>3</v>
      </c>
      <c r="L140">
        <v>4</v>
      </c>
      <c r="M140">
        <v>5</v>
      </c>
      <c r="N140">
        <v>5</v>
      </c>
      <c r="O140">
        <v>4</v>
      </c>
      <c r="P140">
        <v>3</v>
      </c>
    </row>
    <row r="141" spans="1:16" x14ac:dyDescent="0.3">
      <c r="A141" t="s">
        <v>151</v>
      </c>
      <c r="B141" t="s">
        <v>165</v>
      </c>
      <c r="C141">
        <v>1</v>
      </c>
      <c r="D141">
        <v>4</v>
      </c>
      <c r="E141">
        <v>1</v>
      </c>
      <c r="F141">
        <v>3</v>
      </c>
      <c r="G141">
        <v>4</v>
      </c>
      <c r="H141">
        <v>3</v>
      </c>
      <c r="I141">
        <v>3</v>
      </c>
      <c r="J141">
        <v>4</v>
      </c>
      <c r="K141">
        <v>5</v>
      </c>
      <c r="L141">
        <v>3</v>
      </c>
      <c r="M141">
        <v>4</v>
      </c>
      <c r="N141">
        <v>1</v>
      </c>
      <c r="O141">
        <v>3</v>
      </c>
      <c r="P141">
        <v>3</v>
      </c>
    </row>
    <row r="142" spans="1:16" x14ac:dyDescent="0.3">
      <c r="A142" t="s">
        <v>152</v>
      </c>
      <c r="B142" t="s">
        <v>166</v>
      </c>
      <c r="C142">
        <v>3</v>
      </c>
      <c r="D142">
        <v>4</v>
      </c>
      <c r="E142">
        <v>3</v>
      </c>
      <c r="F142">
        <v>5</v>
      </c>
      <c r="G142">
        <v>5</v>
      </c>
      <c r="H142">
        <v>4</v>
      </c>
      <c r="I142">
        <v>4</v>
      </c>
      <c r="J142">
        <v>3</v>
      </c>
      <c r="K142">
        <v>2</v>
      </c>
      <c r="L142">
        <v>4</v>
      </c>
      <c r="M142">
        <v>2</v>
      </c>
      <c r="N142">
        <v>2</v>
      </c>
      <c r="O142">
        <v>4</v>
      </c>
      <c r="P142">
        <v>2</v>
      </c>
    </row>
    <row r="143" spans="1:16" x14ac:dyDescent="0.3">
      <c r="A143" t="s">
        <v>153</v>
      </c>
      <c r="B143" t="s">
        <v>165</v>
      </c>
      <c r="C143">
        <v>1</v>
      </c>
      <c r="D143">
        <v>3</v>
      </c>
      <c r="E143">
        <v>5</v>
      </c>
      <c r="F143">
        <v>3</v>
      </c>
      <c r="G143">
        <v>5</v>
      </c>
      <c r="H143">
        <v>3</v>
      </c>
      <c r="I143">
        <v>4</v>
      </c>
      <c r="J143">
        <v>2</v>
      </c>
      <c r="K143">
        <v>3</v>
      </c>
      <c r="L143">
        <v>2</v>
      </c>
      <c r="M143">
        <v>3</v>
      </c>
      <c r="N143">
        <v>3</v>
      </c>
      <c r="O143">
        <v>2</v>
      </c>
      <c r="P143">
        <v>3</v>
      </c>
    </row>
    <row r="144" spans="1:16" x14ac:dyDescent="0.3">
      <c r="A144" t="s">
        <v>154</v>
      </c>
      <c r="B144" t="s">
        <v>166</v>
      </c>
      <c r="C144">
        <v>1</v>
      </c>
      <c r="D144">
        <v>3</v>
      </c>
      <c r="E144">
        <v>5</v>
      </c>
      <c r="F144">
        <v>4</v>
      </c>
      <c r="G144">
        <v>5</v>
      </c>
      <c r="H144">
        <v>5</v>
      </c>
      <c r="I144">
        <v>5</v>
      </c>
      <c r="J144">
        <v>1</v>
      </c>
      <c r="K144">
        <v>1</v>
      </c>
      <c r="L144">
        <v>5</v>
      </c>
      <c r="M144">
        <v>1</v>
      </c>
      <c r="N144">
        <v>2</v>
      </c>
      <c r="O144">
        <v>5</v>
      </c>
      <c r="P144">
        <v>1</v>
      </c>
    </row>
    <row r="145" spans="1:16" x14ac:dyDescent="0.3">
      <c r="A145" t="s">
        <v>155</v>
      </c>
      <c r="B145" t="s">
        <v>165</v>
      </c>
      <c r="C145">
        <v>2</v>
      </c>
      <c r="D145">
        <v>2</v>
      </c>
      <c r="E145">
        <v>5</v>
      </c>
      <c r="F145">
        <v>2</v>
      </c>
      <c r="G145">
        <v>2</v>
      </c>
      <c r="H145">
        <v>5</v>
      </c>
      <c r="I145">
        <v>5</v>
      </c>
      <c r="J145">
        <v>3</v>
      </c>
      <c r="K145">
        <v>1</v>
      </c>
      <c r="L145">
        <v>5</v>
      </c>
      <c r="M145">
        <v>2</v>
      </c>
      <c r="N145">
        <v>4</v>
      </c>
      <c r="O145">
        <v>5</v>
      </c>
      <c r="P145">
        <v>1</v>
      </c>
    </row>
    <row r="146" spans="1:16" x14ac:dyDescent="0.3">
      <c r="A146" t="s">
        <v>156</v>
      </c>
      <c r="B146" t="s">
        <v>165</v>
      </c>
      <c r="C146">
        <v>3</v>
      </c>
      <c r="D146">
        <v>3</v>
      </c>
      <c r="E146">
        <v>1</v>
      </c>
      <c r="F146">
        <v>4</v>
      </c>
      <c r="G146">
        <v>5</v>
      </c>
      <c r="H146">
        <v>1</v>
      </c>
      <c r="I146">
        <v>3</v>
      </c>
      <c r="J146">
        <v>1</v>
      </c>
      <c r="K146">
        <v>4</v>
      </c>
      <c r="L146">
        <v>1</v>
      </c>
      <c r="M146">
        <v>1</v>
      </c>
      <c r="N146">
        <v>1</v>
      </c>
      <c r="O146">
        <v>1</v>
      </c>
      <c r="P146">
        <v>4</v>
      </c>
    </row>
    <row r="147" spans="1:16" x14ac:dyDescent="0.3">
      <c r="A147" t="s">
        <v>157</v>
      </c>
      <c r="B147" t="s">
        <v>165</v>
      </c>
      <c r="C147">
        <v>2</v>
      </c>
      <c r="D147">
        <v>1</v>
      </c>
      <c r="E147">
        <v>5</v>
      </c>
      <c r="F147">
        <v>5</v>
      </c>
      <c r="G147">
        <v>5</v>
      </c>
      <c r="H147">
        <v>1</v>
      </c>
      <c r="I147">
        <v>2</v>
      </c>
      <c r="J147">
        <v>1</v>
      </c>
      <c r="K147">
        <v>2</v>
      </c>
      <c r="L147">
        <v>2</v>
      </c>
      <c r="M147">
        <v>5</v>
      </c>
      <c r="N147">
        <v>2</v>
      </c>
      <c r="O147">
        <v>2</v>
      </c>
      <c r="P147">
        <v>2</v>
      </c>
    </row>
    <row r="148" spans="1:16" x14ac:dyDescent="0.3">
      <c r="A148" t="s">
        <v>158</v>
      </c>
      <c r="B148" t="s">
        <v>165</v>
      </c>
      <c r="C148">
        <v>4</v>
      </c>
      <c r="D148">
        <v>3</v>
      </c>
      <c r="E148">
        <v>4</v>
      </c>
      <c r="F148">
        <v>2</v>
      </c>
      <c r="G148">
        <v>1</v>
      </c>
      <c r="H148">
        <v>2</v>
      </c>
      <c r="I148">
        <v>1</v>
      </c>
      <c r="J148">
        <v>2</v>
      </c>
      <c r="K148">
        <v>1</v>
      </c>
      <c r="L148">
        <v>4</v>
      </c>
      <c r="M148">
        <v>1</v>
      </c>
      <c r="N148">
        <v>1</v>
      </c>
      <c r="O148">
        <v>4</v>
      </c>
      <c r="P148">
        <v>2</v>
      </c>
    </row>
    <row r="149" spans="1:16" x14ac:dyDescent="0.3">
      <c r="A149" t="s">
        <v>159</v>
      </c>
      <c r="B149" t="s">
        <v>166</v>
      </c>
      <c r="C149">
        <v>1</v>
      </c>
      <c r="D149">
        <v>1</v>
      </c>
      <c r="E149">
        <v>2</v>
      </c>
      <c r="F149">
        <v>5</v>
      </c>
      <c r="G149">
        <v>5</v>
      </c>
      <c r="H149">
        <v>5</v>
      </c>
      <c r="I149">
        <v>2</v>
      </c>
      <c r="J149">
        <v>1</v>
      </c>
      <c r="K149">
        <v>4</v>
      </c>
      <c r="L149">
        <v>1</v>
      </c>
      <c r="M149">
        <v>4</v>
      </c>
      <c r="N149">
        <v>3</v>
      </c>
      <c r="O149">
        <v>1</v>
      </c>
      <c r="P149">
        <v>2</v>
      </c>
    </row>
    <row r="150" spans="1:16" x14ac:dyDescent="0.3">
      <c r="A150" t="s">
        <v>160</v>
      </c>
      <c r="B150" t="s">
        <v>166</v>
      </c>
      <c r="C150">
        <v>2</v>
      </c>
      <c r="D150">
        <v>3</v>
      </c>
      <c r="E150">
        <v>4</v>
      </c>
      <c r="F150">
        <v>3</v>
      </c>
      <c r="G150">
        <v>2</v>
      </c>
      <c r="H150">
        <v>5</v>
      </c>
      <c r="I150">
        <v>3</v>
      </c>
      <c r="J150">
        <v>3</v>
      </c>
      <c r="K150">
        <v>2</v>
      </c>
      <c r="L150">
        <v>2</v>
      </c>
      <c r="M150">
        <v>5</v>
      </c>
      <c r="N150">
        <v>2</v>
      </c>
      <c r="O150">
        <v>1</v>
      </c>
      <c r="P150">
        <v>2</v>
      </c>
    </row>
    <row r="151" spans="1:16" x14ac:dyDescent="0.3">
      <c r="A151" t="s">
        <v>161</v>
      </c>
      <c r="B151" t="s">
        <v>165</v>
      </c>
      <c r="C151">
        <v>1</v>
      </c>
      <c r="D151">
        <v>3</v>
      </c>
      <c r="E151">
        <v>4</v>
      </c>
      <c r="F151">
        <v>2</v>
      </c>
      <c r="G151">
        <v>1</v>
      </c>
      <c r="H151">
        <v>1</v>
      </c>
      <c r="I151">
        <v>3</v>
      </c>
      <c r="J151">
        <v>2</v>
      </c>
      <c r="K151">
        <v>1</v>
      </c>
      <c r="L151">
        <v>3</v>
      </c>
      <c r="M151">
        <v>3</v>
      </c>
      <c r="N151">
        <v>1</v>
      </c>
      <c r="O151">
        <v>1</v>
      </c>
      <c r="P151">
        <v>1</v>
      </c>
    </row>
    <row r="153" spans="1:16" x14ac:dyDescent="0.3">
      <c r="A153" t="s">
        <v>162</v>
      </c>
      <c r="C153" s="1">
        <f t="shared" ref="C153:P153" si="0">AVERAGEIF($B$2:$B$151,"М",C2:C151)</f>
        <v>1.9620253164556962</v>
      </c>
      <c r="D153" s="1">
        <f t="shared" si="0"/>
        <v>2.9873417721518987</v>
      </c>
      <c r="E153" s="1">
        <f t="shared" si="0"/>
        <v>3.4177215189873418</v>
      </c>
      <c r="F153" s="1">
        <f t="shared" si="0"/>
        <v>2.8607594936708862</v>
      </c>
      <c r="G153" s="1">
        <f t="shared" si="0"/>
        <v>3.0632911392405062</v>
      </c>
      <c r="H153" s="1">
        <f t="shared" si="0"/>
        <v>2.4683544303797467</v>
      </c>
      <c r="I153" s="1">
        <f t="shared" si="0"/>
        <v>3.3797468354430378</v>
      </c>
      <c r="J153" s="1">
        <f t="shared" si="0"/>
        <v>2.278481012658228</v>
      </c>
      <c r="K153" s="1">
        <f t="shared" si="0"/>
        <v>2.5316455696202533</v>
      </c>
      <c r="L153" s="1">
        <f t="shared" si="0"/>
        <v>3.0886075949367089</v>
      </c>
      <c r="M153" s="1">
        <f t="shared" si="0"/>
        <v>3.4303797468354431</v>
      </c>
      <c r="N153" s="1">
        <f t="shared" si="0"/>
        <v>2.0886075949367089</v>
      </c>
      <c r="O153" s="1">
        <f t="shared" si="0"/>
        <v>2.9113924050632911</v>
      </c>
      <c r="P153" s="1">
        <f t="shared" si="0"/>
        <v>2.481012658227848</v>
      </c>
    </row>
    <row r="154" spans="1:16" x14ac:dyDescent="0.3">
      <c r="A154" t="s">
        <v>163</v>
      </c>
      <c r="C154" s="1">
        <f t="shared" ref="C154:O154" si="1">AVERAGEIF($B$2:$B$151,"Ж",C2:C151)</f>
        <v>2.0714285714285716</v>
      </c>
      <c r="D154" s="1">
        <f t="shared" si="1"/>
        <v>2.9428571428571431</v>
      </c>
      <c r="E154" s="1">
        <f t="shared" si="1"/>
        <v>3.4285714285714284</v>
      </c>
      <c r="F154" s="1">
        <f t="shared" si="1"/>
        <v>3.657142857142857</v>
      </c>
      <c r="G154" s="1">
        <f t="shared" si="1"/>
        <v>3.7285714285714286</v>
      </c>
      <c r="H154" s="1">
        <f t="shared" si="1"/>
        <v>3.5285714285714285</v>
      </c>
      <c r="I154" s="1">
        <f t="shared" si="1"/>
        <v>3.6285714285714286</v>
      </c>
      <c r="J154" s="1">
        <f t="shared" si="1"/>
        <v>2.1428571428571428</v>
      </c>
      <c r="K154" s="1">
        <f t="shared" si="1"/>
        <v>2.7142857142857144</v>
      </c>
      <c r="L154" s="1">
        <f t="shared" si="1"/>
        <v>2.7428571428571429</v>
      </c>
      <c r="M154" s="1">
        <f t="shared" si="1"/>
        <v>3.2285714285714286</v>
      </c>
      <c r="N154" s="1">
        <f t="shared" si="1"/>
        <v>2.5142857142857142</v>
      </c>
      <c r="O154" s="1">
        <f t="shared" si="1"/>
        <v>2.9428571428571431</v>
      </c>
      <c r="P154" s="1" t="e">
        <f t="shared" ref="P154" si="2">AVERAGEIF($B$2:$B$151,"Female",P2:P151)</f>
        <v>#DIV/0!</v>
      </c>
    </row>
    <row r="155" spans="1:16" x14ac:dyDescent="0.3">
      <c r="A155" t="s">
        <v>164</v>
      </c>
      <c r="C155" s="1">
        <f>C153-C154</f>
        <v>-0.1094032549728754</v>
      </c>
      <c r="D155" s="1">
        <f t="shared" ref="D155:P155" si="3">D153-D154</f>
        <v>4.4484629294755607E-2</v>
      </c>
      <c r="E155" s="1">
        <f t="shared" si="3"/>
        <v>-1.0849909584086603E-2</v>
      </c>
      <c r="F155" s="1">
        <f t="shared" si="3"/>
        <v>-0.79638336347197081</v>
      </c>
      <c r="G155" s="1">
        <f t="shared" si="3"/>
        <v>-0.66528028933092243</v>
      </c>
      <c r="H155" s="1">
        <f t="shared" si="3"/>
        <v>-1.0602169981916818</v>
      </c>
      <c r="I155" s="1">
        <f t="shared" si="3"/>
        <v>-0.24882459312839078</v>
      </c>
      <c r="J155" s="1">
        <f t="shared" si="3"/>
        <v>0.13562386980108521</v>
      </c>
      <c r="K155" s="1">
        <f t="shared" si="3"/>
        <v>-0.18264014466546108</v>
      </c>
      <c r="L155" s="1">
        <f t="shared" si="3"/>
        <v>0.34575045207956601</v>
      </c>
      <c r="M155" s="1">
        <f t="shared" si="3"/>
        <v>0.20180831826401446</v>
      </c>
      <c r="N155" s="1">
        <f t="shared" si="3"/>
        <v>-0.42567811934900535</v>
      </c>
      <c r="O155" s="1">
        <f t="shared" si="3"/>
        <v>-3.1464737793851949E-2</v>
      </c>
      <c r="P155" s="1" t="e">
        <f t="shared" si="3"/>
        <v>#DIV/0!</v>
      </c>
    </row>
  </sheetData>
  <phoneticPr fontId="0" type="noConversion"/>
  <conditionalFormatting sqref="C155:P155">
    <cfRule type="cellIs" dxfId="0" priority="1" operator="greaterThan">
      <formula>0</formula>
    </cfRule>
  </conditionalFormatting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kePivotTables">
                <anchor moveWithCells="1" sizeWithCells="1">
                  <from>
                    <xdr:col>18</xdr:col>
                    <xdr:colOff>259080</xdr:colOff>
                    <xdr:row>12</xdr:row>
                    <xdr:rowOff>38100</xdr:rowOff>
                  </from>
                  <to>
                    <xdr:col>21</xdr:col>
                    <xdr:colOff>198120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2007-01-08T22:48:04Z</outs:dateTime>
      <outs:isPinned>true</outs:isPinned>
    </outs:relatedDate>
    <outs:relatedDate>
      <outs:type>2</outs:type>
      <outs:displayName>Created</outs:displayName>
      <outs:dateTime>1998-12-28T19:17:06Z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C476FC4-F27D-464F-B0F1-82138B5D9D3E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Итог</vt:lpstr>
      <vt:lpstr>ДанныеОпроса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survey data pivot tables.xlsm</dc:title>
  <dc:subject>'Excel 2010 Power Programming With VBA' Example File</dc:subject>
  <dc:creator>John Walkenbach</dc:creator>
  <cp:keywords> </cp:keywords>
  <dc:description>©2010, John Walkenbach. All Rights Reserved.</dc:description>
  <cp:lastModifiedBy>Владислав Гинзбург</cp:lastModifiedBy>
  <dcterms:created xsi:type="dcterms:W3CDTF">1998-12-28T19:17:06Z</dcterms:created>
  <dcterms:modified xsi:type="dcterms:W3CDTF">2011-02-14T16:22:01Z</dcterms:modified>
  <cp:category>Excel 2010 Power Programming With VBA</cp:category>
</cp:coreProperties>
</file>