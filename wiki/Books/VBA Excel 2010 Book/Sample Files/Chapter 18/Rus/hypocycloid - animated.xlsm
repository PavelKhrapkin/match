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-12" yWindow="-12" windowWidth="15456" windowHeight="12036"/>
  </bookViews>
  <sheets>
    <sheet name="Chart" sheetId="1" r:id="rId1"/>
    <sheet name="Info" sheetId="4" r:id="rId2"/>
    <sheet name="Module1" sheetId="2" state="veryHidden" r:id=""/>
  </sheets>
  <definedNames>
    <definedName name="a">Chart!$R$5:$R$381</definedName>
    <definedName name="a_inc">Chart!$R$2</definedName>
    <definedName name="animate">Chart!$V$2</definedName>
    <definedName name="b">Chart!$S$5:$S$381</definedName>
    <definedName name="b_inc">Chart!$S$2</definedName>
    <definedName name="Increments">Chart!$R$2:$T$2</definedName>
    <definedName name="t">Chart!$T$5:$T$381</definedName>
    <definedName name="t_inc">Chart!$T$2</definedName>
    <definedName name="x">Chart!$U$5:$U$381</definedName>
    <definedName name="y">Chart!$V$5:$V$381</definedName>
    <definedName name="Скорость">Chart!$A$13</definedName>
  </definedNames>
  <calcPr calcId="144525"/>
</workbook>
</file>

<file path=xl/calcChain.xml><?xml version="1.0" encoding="utf-8"?>
<calcChain xmlns="http://schemas.openxmlformats.org/spreadsheetml/2006/main">
  <c r="B3" i="1" l="1"/>
  <c r="T5" i="1" l="1"/>
  <c r="T6" i="1" s="1"/>
  <c r="S5" i="1"/>
  <c r="S6" i="1" s="1"/>
  <c r="S7" i="1" s="1"/>
  <c r="S8" i="1" s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R5" i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B4" i="1"/>
  <c r="B5" i="1"/>
  <c r="V5" i="1" l="1"/>
  <c r="V6" i="1"/>
  <c r="U6" i="1"/>
  <c r="T7" i="1"/>
  <c r="U5" i="1"/>
  <c r="S88" i="1"/>
  <c r="R108" i="1"/>
  <c r="R109" i="1" s="1"/>
  <c r="U7" i="1" l="1"/>
  <c r="V7" i="1"/>
  <c r="T8" i="1"/>
  <c r="S89" i="1"/>
  <c r="R110" i="1"/>
  <c r="U8" i="1" l="1"/>
  <c r="T9" i="1"/>
  <c r="V8" i="1"/>
  <c r="S90" i="1"/>
  <c r="R111" i="1"/>
  <c r="U9" i="1" l="1"/>
  <c r="V9" i="1"/>
  <c r="T10" i="1"/>
  <c r="S91" i="1"/>
  <c r="R112" i="1"/>
  <c r="U10" i="1" l="1"/>
  <c r="T11" i="1"/>
  <c r="V10" i="1"/>
  <c r="S92" i="1"/>
  <c r="R113" i="1"/>
  <c r="U11" i="1" l="1"/>
  <c r="V11" i="1"/>
  <c r="T12" i="1"/>
  <c r="S93" i="1"/>
  <c r="R114" i="1"/>
  <c r="U12" i="1" l="1"/>
  <c r="T13" i="1"/>
  <c r="V12" i="1"/>
  <c r="S94" i="1"/>
  <c r="R115" i="1"/>
  <c r="U13" i="1" l="1"/>
  <c r="V13" i="1"/>
  <c r="T14" i="1"/>
  <c r="S95" i="1"/>
  <c r="R116" i="1"/>
  <c r="U14" i="1" l="1"/>
  <c r="T15" i="1"/>
  <c r="V14" i="1"/>
  <c r="S96" i="1"/>
  <c r="R117" i="1"/>
  <c r="U15" i="1" l="1"/>
  <c r="V15" i="1"/>
  <c r="T16" i="1"/>
  <c r="S97" i="1"/>
  <c r="R118" i="1"/>
  <c r="U16" i="1" l="1"/>
  <c r="T17" i="1"/>
  <c r="V16" i="1"/>
  <c r="S98" i="1"/>
  <c r="R119" i="1"/>
  <c r="U17" i="1" l="1"/>
  <c r="V17" i="1"/>
  <c r="T18" i="1"/>
  <c r="S99" i="1"/>
  <c r="R120" i="1"/>
  <c r="U18" i="1" l="1"/>
  <c r="T19" i="1"/>
  <c r="V18" i="1"/>
  <c r="S100" i="1"/>
  <c r="R121" i="1"/>
  <c r="U19" i="1" l="1"/>
  <c r="V19" i="1"/>
  <c r="T20" i="1"/>
  <c r="S101" i="1"/>
  <c r="R122" i="1"/>
  <c r="U20" i="1" l="1"/>
  <c r="T21" i="1"/>
  <c r="V20" i="1"/>
  <c r="S102" i="1"/>
  <c r="R123" i="1"/>
  <c r="U21" i="1" l="1"/>
  <c r="V21" i="1"/>
  <c r="T22" i="1"/>
  <c r="S103" i="1"/>
  <c r="R124" i="1"/>
  <c r="U22" i="1" l="1"/>
  <c r="T23" i="1"/>
  <c r="V22" i="1"/>
  <c r="S104" i="1"/>
  <c r="R125" i="1"/>
  <c r="U23" i="1" l="1"/>
  <c r="V23" i="1"/>
  <c r="T24" i="1"/>
  <c r="S105" i="1"/>
  <c r="R126" i="1"/>
  <c r="U24" i="1" l="1"/>
  <c r="T25" i="1"/>
  <c r="V24" i="1"/>
  <c r="S106" i="1"/>
  <c r="R127" i="1"/>
  <c r="U25" i="1" l="1"/>
  <c r="V25" i="1"/>
  <c r="T26" i="1"/>
  <c r="S107" i="1"/>
  <c r="R128" i="1"/>
  <c r="U26" i="1" l="1"/>
  <c r="T27" i="1"/>
  <c r="V26" i="1"/>
  <c r="S108" i="1"/>
  <c r="R129" i="1"/>
  <c r="U27" i="1" l="1"/>
  <c r="V27" i="1"/>
  <c r="T28" i="1"/>
  <c r="S109" i="1"/>
  <c r="R130" i="1"/>
  <c r="U28" i="1" l="1"/>
  <c r="T29" i="1"/>
  <c r="V28" i="1"/>
  <c r="S110" i="1"/>
  <c r="R131" i="1"/>
  <c r="U29" i="1" l="1"/>
  <c r="V29" i="1"/>
  <c r="T30" i="1"/>
  <c r="S111" i="1"/>
  <c r="R132" i="1"/>
  <c r="U30" i="1" l="1"/>
  <c r="T31" i="1"/>
  <c r="V30" i="1"/>
  <c r="S112" i="1"/>
  <c r="R133" i="1"/>
  <c r="U31" i="1" l="1"/>
  <c r="V31" i="1"/>
  <c r="T32" i="1"/>
  <c r="S113" i="1"/>
  <c r="R134" i="1"/>
  <c r="U32" i="1" l="1"/>
  <c r="T33" i="1"/>
  <c r="V32" i="1"/>
  <c r="S114" i="1"/>
  <c r="R135" i="1"/>
  <c r="U33" i="1" l="1"/>
  <c r="V33" i="1"/>
  <c r="T34" i="1"/>
  <c r="S115" i="1"/>
  <c r="R136" i="1"/>
  <c r="U34" i="1" l="1"/>
  <c r="T35" i="1"/>
  <c r="V34" i="1"/>
  <c r="S116" i="1"/>
  <c r="R137" i="1"/>
  <c r="U35" i="1" l="1"/>
  <c r="V35" i="1"/>
  <c r="T36" i="1"/>
  <c r="S117" i="1"/>
  <c r="R138" i="1"/>
  <c r="U36" i="1" l="1"/>
  <c r="T37" i="1"/>
  <c r="V36" i="1"/>
  <c r="S118" i="1"/>
  <c r="R139" i="1"/>
  <c r="U37" i="1" l="1"/>
  <c r="V37" i="1"/>
  <c r="T38" i="1"/>
  <c r="S119" i="1"/>
  <c r="R140" i="1"/>
  <c r="U38" i="1" l="1"/>
  <c r="T39" i="1"/>
  <c r="V38" i="1"/>
  <c r="S120" i="1"/>
  <c r="R141" i="1"/>
  <c r="U39" i="1" l="1"/>
  <c r="V39" i="1"/>
  <c r="T40" i="1"/>
  <c r="S121" i="1"/>
  <c r="R142" i="1"/>
  <c r="U40" i="1" l="1"/>
  <c r="T41" i="1"/>
  <c r="V40" i="1"/>
  <c r="S122" i="1"/>
  <c r="R143" i="1"/>
  <c r="U41" i="1" l="1"/>
  <c r="V41" i="1"/>
  <c r="T42" i="1"/>
  <c r="S123" i="1"/>
  <c r="R144" i="1"/>
  <c r="U42" i="1" l="1"/>
  <c r="T43" i="1"/>
  <c r="V42" i="1"/>
  <c r="S124" i="1"/>
  <c r="R145" i="1"/>
  <c r="U43" i="1" l="1"/>
  <c r="V43" i="1"/>
  <c r="T44" i="1"/>
  <c r="S125" i="1"/>
  <c r="R146" i="1"/>
  <c r="U44" i="1" l="1"/>
  <c r="T45" i="1"/>
  <c r="V44" i="1"/>
  <c r="S126" i="1"/>
  <c r="R147" i="1"/>
  <c r="U45" i="1" l="1"/>
  <c r="V45" i="1"/>
  <c r="T46" i="1"/>
  <c r="S127" i="1"/>
  <c r="R148" i="1"/>
  <c r="U46" i="1" l="1"/>
  <c r="T47" i="1"/>
  <c r="V46" i="1"/>
  <c r="S128" i="1"/>
  <c r="R149" i="1"/>
  <c r="U47" i="1" l="1"/>
  <c r="V47" i="1"/>
  <c r="T48" i="1"/>
  <c r="S129" i="1"/>
  <c r="R150" i="1"/>
  <c r="U48" i="1" l="1"/>
  <c r="T49" i="1"/>
  <c r="V48" i="1"/>
  <c r="S130" i="1"/>
  <c r="R151" i="1"/>
  <c r="U49" i="1" l="1"/>
  <c r="V49" i="1"/>
  <c r="T50" i="1"/>
  <c r="S131" i="1"/>
  <c r="R152" i="1"/>
  <c r="U50" i="1" l="1"/>
  <c r="T51" i="1"/>
  <c r="V50" i="1"/>
  <c r="S132" i="1"/>
  <c r="R153" i="1"/>
  <c r="U51" i="1" l="1"/>
  <c r="V51" i="1"/>
  <c r="T52" i="1"/>
  <c r="S133" i="1"/>
  <c r="R154" i="1"/>
  <c r="U52" i="1" l="1"/>
  <c r="T53" i="1"/>
  <c r="V52" i="1"/>
  <c r="S134" i="1"/>
  <c r="R155" i="1"/>
  <c r="U53" i="1" l="1"/>
  <c r="V53" i="1"/>
  <c r="T54" i="1"/>
  <c r="S135" i="1"/>
  <c r="R156" i="1"/>
  <c r="U54" i="1" l="1"/>
  <c r="T55" i="1"/>
  <c r="V54" i="1"/>
  <c r="S136" i="1"/>
  <c r="R157" i="1"/>
  <c r="U55" i="1" l="1"/>
  <c r="V55" i="1"/>
  <c r="T56" i="1"/>
  <c r="S137" i="1"/>
  <c r="R158" i="1"/>
  <c r="U56" i="1" l="1"/>
  <c r="T57" i="1"/>
  <c r="V56" i="1"/>
  <c r="S138" i="1"/>
  <c r="R159" i="1"/>
  <c r="U57" i="1" l="1"/>
  <c r="V57" i="1"/>
  <c r="T58" i="1"/>
  <c r="S139" i="1"/>
  <c r="R160" i="1"/>
  <c r="U58" i="1" l="1"/>
  <c r="T59" i="1"/>
  <c r="V58" i="1"/>
  <c r="S140" i="1"/>
  <c r="R161" i="1"/>
  <c r="U59" i="1" l="1"/>
  <c r="T60" i="1"/>
  <c r="V59" i="1"/>
  <c r="S141" i="1"/>
  <c r="R162" i="1"/>
  <c r="U60" i="1" l="1"/>
  <c r="T61" i="1"/>
  <c r="V60" i="1"/>
  <c r="S142" i="1"/>
  <c r="R163" i="1"/>
  <c r="U61" i="1" l="1"/>
  <c r="V61" i="1"/>
  <c r="T62" i="1"/>
  <c r="S143" i="1"/>
  <c r="R164" i="1"/>
  <c r="U62" i="1" l="1"/>
  <c r="T63" i="1"/>
  <c r="V62" i="1"/>
  <c r="S144" i="1"/>
  <c r="R165" i="1"/>
  <c r="U63" i="1" l="1"/>
  <c r="T64" i="1"/>
  <c r="V63" i="1"/>
  <c r="S145" i="1"/>
  <c r="R166" i="1"/>
  <c r="U64" i="1" l="1"/>
  <c r="T65" i="1"/>
  <c r="V64" i="1"/>
  <c r="S146" i="1"/>
  <c r="R167" i="1"/>
  <c r="U65" i="1" l="1"/>
  <c r="V65" i="1"/>
  <c r="T66" i="1"/>
  <c r="S147" i="1"/>
  <c r="R168" i="1"/>
  <c r="U66" i="1" l="1"/>
  <c r="T67" i="1"/>
  <c r="V66" i="1"/>
  <c r="S148" i="1"/>
  <c r="R169" i="1"/>
  <c r="U67" i="1" l="1"/>
  <c r="T68" i="1"/>
  <c r="V67" i="1"/>
  <c r="S149" i="1"/>
  <c r="R170" i="1"/>
  <c r="U68" i="1" l="1"/>
  <c r="T69" i="1"/>
  <c r="V68" i="1"/>
  <c r="S150" i="1"/>
  <c r="R171" i="1"/>
  <c r="U69" i="1" l="1"/>
  <c r="V69" i="1"/>
  <c r="T70" i="1"/>
  <c r="S151" i="1"/>
  <c r="R172" i="1"/>
  <c r="U70" i="1" l="1"/>
  <c r="T71" i="1"/>
  <c r="V70" i="1"/>
  <c r="S152" i="1"/>
  <c r="R173" i="1"/>
  <c r="U71" i="1" l="1"/>
  <c r="T72" i="1"/>
  <c r="V71" i="1"/>
  <c r="S153" i="1"/>
  <c r="R174" i="1"/>
  <c r="U72" i="1" l="1"/>
  <c r="T73" i="1"/>
  <c r="V72" i="1"/>
  <c r="S154" i="1"/>
  <c r="R175" i="1"/>
  <c r="U73" i="1" l="1"/>
  <c r="V73" i="1"/>
  <c r="T74" i="1"/>
  <c r="S155" i="1"/>
  <c r="R176" i="1"/>
  <c r="U74" i="1" l="1"/>
  <c r="T75" i="1"/>
  <c r="V74" i="1"/>
  <c r="S156" i="1"/>
  <c r="R177" i="1"/>
  <c r="U75" i="1" l="1"/>
  <c r="T76" i="1"/>
  <c r="V75" i="1"/>
  <c r="S157" i="1"/>
  <c r="R178" i="1"/>
  <c r="U76" i="1" l="1"/>
  <c r="T77" i="1"/>
  <c r="V76" i="1"/>
  <c r="S158" i="1"/>
  <c r="R179" i="1"/>
  <c r="U77" i="1" l="1"/>
  <c r="T78" i="1"/>
  <c r="V77" i="1"/>
  <c r="S159" i="1"/>
  <c r="R180" i="1"/>
  <c r="U78" i="1" l="1"/>
  <c r="T79" i="1"/>
  <c r="V78" i="1"/>
  <c r="S160" i="1"/>
  <c r="R181" i="1"/>
  <c r="U79" i="1" l="1"/>
  <c r="T80" i="1"/>
  <c r="V79" i="1"/>
  <c r="S161" i="1"/>
  <c r="R182" i="1"/>
  <c r="U80" i="1" l="1"/>
  <c r="T81" i="1"/>
  <c r="V80" i="1"/>
  <c r="S162" i="1"/>
  <c r="R183" i="1"/>
  <c r="U81" i="1" l="1"/>
  <c r="T82" i="1"/>
  <c r="V81" i="1"/>
  <c r="S163" i="1"/>
  <c r="R184" i="1"/>
  <c r="U82" i="1" l="1"/>
  <c r="T83" i="1"/>
  <c r="V82" i="1"/>
  <c r="S164" i="1"/>
  <c r="R185" i="1"/>
  <c r="U83" i="1" l="1"/>
  <c r="T84" i="1"/>
  <c r="V83" i="1"/>
  <c r="S165" i="1"/>
  <c r="R186" i="1"/>
  <c r="U84" i="1" l="1"/>
  <c r="T85" i="1"/>
  <c r="V84" i="1"/>
  <c r="S166" i="1"/>
  <c r="R187" i="1"/>
  <c r="U85" i="1" l="1"/>
  <c r="T86" i="1"/>
  <c r="V85" i="1"/>
  <c r="S167" i="1"/>
  <c r="R188" i="1"/>
  <c r="U86" i="1" l="1"/>
  <c r="T87" i="1"/>
  <c r="V86" i="1"/>
  <c r="S168" i="1"/>
  <c r="R189" i="1"/>
  <c r="T88" i="1" l="1"/>
  <c r="V87" i="1"/>
  <c r="U87" i="1"/>
  <c r="S169" i="1"/>
  <c r="R190" i="1"/>
  <c r="T89" i="1" l="1"/>
  <c r="V88" i="1"/>
  <c r="U88" i="1"/>
  <c r="S170" i="1"/>
  <c r="R191" i="1"/>
  <c r="T90" i="1" l="1"/>
  <c r="U89" i="1"/>
  <c r="V89" i="1"/>
  <c r="S171" i="1"/>
  <c r="R192" i="1"/>
  <c r="T91" i="1" l="1"/>
  <c r="V90" i="1"/>
  <c r="U90" i="1"/>
  <c r="S172" i="1"/>
  <c r="R193" i="1"/>
  <c r="T92" i="1" l="1"/>
  <c r="V91" i="1"/>
  <c r="U91" i="1"/>
  <c r="S173" i="1"/>
  <c r="R194" i="1"/>
  <c r="T93" i="1" l="1"/>
  <c r="V92" i="1"/>
  <c r="U92" i="1"/>
  <c r="S174" i="1"/>
  <c r="R195" i="1"/>
  <c r="T94" i="1" l="1"/>
  <c r="V93" i="1"/>
  <c r="U93" i="1"/>
  <c r="S175" i="1"/>
  <c r="R196" i="1"/>
  <c r="T95" i="1" l="1"/>
  <c r="V94" i="1"/>
  <c r="U94" i="1"/>
  <c r="S176" i="1"/>
  <c r="R197" i="1"/>
  <c r="T96" i="1" l="1"/>
  <c r="V95" i="1"/>
  <c r="U95" i="1"/>
  <c r="S177" i="1"/>
  <c r="R198" i="1"/>
  <c r="T97" i="1" l="1"/>
  <c r="V96" i="1"/>
  <c r="U96" i="1"/>
  <c r="S178" i="1"/>
  <c r="R199" i="1"/>
  <c r="T98" i="1" l="1"/>
  <c r="V97" i="1"/>
  <c r="U97" i="1"/>
  <c r="S179" i="1"/>
  <c r="R200" i="1"/>
  <c r="T99" i="1" l="1"/>
  <c r="V98" i="1"/>
  <c r="U98" i="1"/>
  <c r="S180" i="1"/>
  <c r="R201" i="1"/>
  <c r="T100" i="1" l="1"/>
  <c r="V99" i="1"/>
  <c r="U99" i="1"/>
  <c r="S181" i="1"/>
  <c r="R202" i="1"/>
  <c r="T101" i="1" l="1"/>
  <c r="V100" i="1"/>
  <c r="U100" i="1"/>
  <c r="S182" i="1"/>
  <c r="R203" i="1"/>
  <c r="T102" i="1" l="1"/>
  <c r="V101" i="1"/>
  <c r="U101" i="1"/>
  <c r="S183" i="1"/>
  <c r="R204" i="1"/>
  <c r="T103" i="1" l="1"/>
  <c r="V102" i="1"/>
  <c r="U102" i="1"/>
  <c r="S184" i="1"/>
  <c r="R205" i="1"/>
  <c r="T104" i="1" l="1"/>
  <c r="V103" i="1"/>
  <c r="U103" i="1"/>
  <c r="S185" i="1"/>
  <c r="R206" i="1"/>
  <c r="T105" i="1" l="1"/>
  <c r="V104" i="1"/>
  <c r="U104" i="1"/>
  <c r="S186" i="1"/>
  <c r="R207" i="1"/>
  <c r="T106" i="1" l="1"/>
  <c r="U105" i="1"/>
  <c r="V105" i="1"/>
  <c r="S187" i="1"/>
  <c r="R208" i="1"/>
  <c r="T107" i="1" l="1"/>
  <c r="U106" i="1"/>
  <c r="V106" i="1"/>
  <c r="S188" i="1"/>
  <c r="R209" i="1"/>
  <c r="T108" i="1" l="1"/>
  <c r="U107" i="1"/>
  <c r="V107" i="1"/>
  <c r="S189" i="1"/>
  <c r="R210" i="1"/>
  <c r="T109" i="1" l="1"/>
  <c r="U108" i="1"/>
  <c r="V108" i="1"/>
  <c r="S190" i="1"/>
  <c r="R211" i="1"/>
  <c r="T110" i="1" l="1"/>
  <c r="U109" i="1"/>
  <c r="V109" i="1"/>
  <c r="S191" i="1"/>
  <c r="R212" i="1"/>
  <c r="T111" i="1" l="1"/>
  <c r="U110" i="1"/>
  <c r="V110" i="1"/>
  <c r="S192" i="1"/>
  <c r="R213" i="1"/>
  <c r="T112" i="1" l="1"/>
  <c r="V111" i="1"/>
  <c r="U111" i="1"/>
  <c r="S193" i="1"/>
  <c r="R214" i="1"/>
  <c r="T113" i="1" l="1"/>
  <c r="U112" i="1"/>
  <c r="V112" i="1"/>
  <c r="S194" i="1"/>
  <c r="R215" i="1"/>
  <c r="T114" i="1" l="1"/>
  <c r="U113" i="1"/>
  <c r="V113" i="1"/>
  <c r="S195" i="1"/>
  <c r="R216" i="1"/>
  <c r="T115" i="1" l="1"/>
  <c r="V114" i="1"/>
  <c r="U114" i="1"/>
  <c r="S196" i="1"/>
  <c r="R217" i="1"/>
  <c r="T116" i="1" l="1"/>
  <c r="U115" i="1"/>
  <c r="V115" i="1"/>
  <c r="S197" i="1"/>
  <c r="R218" i="1"/>
  <c r="T117" i="1" l="1"/>
  <c r="V116" i="1"/>
  <c r="U116" i="1"/>
  <c r="S198" i="1"/>
  <c r="R219" i="1"/>
  <c r="T118" i="1" l="1"/>
  <c r="U117" i="1"/>
  <c r="V117" i="1"/>
  <c r="S199" i="1"/>
  <c r="R220" i="1"/>
  <c r="T119" i="1" l="1"/>
  <c r="U118" i="1"/>
  <c r="V118" i="1"/>
  <c r="S200" i="1"/>
  <c r="R221" i="1"/>
  <c r="T120" i="1" l="1"/>
  <c r="U119" i="1"/>
  <c r="V119" i="1"/>
  <c r="S201" i="1"/>
  <c r="R222" i="1"/>
  <c r="T121" i="1" l="1"/>
  <c r="U120" i="1"/>
  <c r="V120" i="1"/>
  <c r="S202" i="1"/>
  <c r="R223" i="1"/>
  <c r="T122" i="1" l="1"/>
  <c r="V121" i="1"/>
  <c r="U121" i="1"/>
  <c r="S203" i="1"/>
  <c r="R224" i="1"/>
  <c r="T123" i="1" l="1"/>
  <c r="V122" i="1"/>
  <c r="U122" i="1"/>
  <c r="S204" i="1"/>
  <c r="R225" i="1"/>
  <c r="T124" i="1" l="1"/>
  <c r="V123" i="1"/>
  <c r="U123" i="1"/>
  <c r="S205" i="1"/>
  <c r="R226" i="1"/>
  <c r="T125" i="1" l="1"/>
  <c r="V124" i="1"/>
  <c r="U124" i="1"/>
  <c r="S206" i="1"/>
  <c r="R227" i="1"/>
  <c r="T126" i="1" l="1"/>
  <c r="V125" i="1"/>
  <c r="U125" i="1"/>
  <c r="S207" i="1"/>
  <c r="R228" i="1"/>
  <c r="T127" i="1" l="1"/>
  <c r="V126" i="1"/>
  <c r="U126" i="1"/>
  <c r="S208" i="1"/>
  <c r="R229" i="1"/>
  <c r="T128" i="1" l="1"/>
  <c r="U127" i="1"/>
  <c r="V127" i="1"/>
  <c r="S209" i="1"/>
  <c r="R230" i="1"/>
  <c r="T129" i="1" l="1"/>
  <c r="V128" i="1"/>
  <c r="U128" i="1"/>
  <c r="S210" i="1"/>
  <c r="R231" i="1"/>
  <c r="T130" i="1" l="1"/>
  <c r="V129" i="1"/>
  <c r="U129" i="1"/>
  <c r="S211" i="1"/>
  <c r="R232" i="1"/>
  <c r="T131" i="1" l="1"/>
  <c r="V130" i="1"/>
  <c r="U130" i="1"/>
  <c r="S212" i="1"/>
  <c r="R233" i="1"/>
  <c r="T132" i="1" l="1"/>
  <c r="V131" i="1"/>
  <c r="U131" i="1"/>
  <c r="S213" i="1"/>
  <c r="R234" i="1"/>
  <c r="T133" i="1" l="1"/>
  <c r="V132" i="1"/>
  <c r="U132" i="1"/>
  <c r="S214" i="1"/>
  <c r="R235" i="1"/>
  <c r="T134" i="1" l="1"/>
  <c r="V133" i="1"/>
  <c r="U133" i="1"/>
  <c r="S215" i="1"/>
  <c r="R236" i="1"/>
  <c r="T135" i="1" l="1"/>
  <c r="U134" i="1"/>
  <c r="V134" i="1"/>
  <c r="S216" i="1"/>
  <c r="R237" i="1"/>
  <c r="T136" i="1" l="1"/>
  <c r="V135" i="1"/>
  <c r="U135" i="1"/>
  <c r="S217" i="1"/>
  <c r="R238" i="1"/>
  <c r="T137" i="1" l="1"/>
  <c r="U136" i="1"/>
  <c r="V136" i="1"/>
  <c r="S218" i="1"/>
  <c r="R239" i="1"/>
  <c r="T138" i="1" l="1"/>
  <c r="U137" i="1"/>
  <c r="V137" i="1"/>
  <c r="S219" i="1"/>
  <c r="R240" i="1"/>
  <c r="T139" i="1" l="1"/>
  <c r="U138" i="1"/>
  <c r="V138" i="1"/>
  <c r="S220" i="1"/>
  <c r="R241" i="1"/>
  <c r="T140" i="1" l="1"/>
  <c r="U139" i="1"/>
  <c r="V139" i="1"/>
  <c r="S221" i="1"/>
  <c r="R242" i="1"/>
  <c r="T141" i="1" l="1"/>
  <c r="U140" i="1"/>
  <c r="V140" i="1"/>
  <c r="S222" i="1"/>
  <c r="R243" i="1"/>
  <c r="T142" i="1" l="1"/>
  <c r="U141" i="1"/>
  <c r="V141" i="1"/>
  <c r="S223" i="1"/>
  <c r="R244" i="1"/>
  <c r="T143" i="1" l="1"/>
  <c r="U142" i="1"/>
  <c r="V142" i="1"/>
  <c r="S224" i="1"/>
  <c r="R245" i="1"/>
  <c r="T144" i="1" l="1"/>
  <c r="U143" i="1"/>
  <c r="V143" i="1"/>
  <c r="S225" i="1"/>
  <c r="R246" i="1"/>
  <c r="T145" i="1" l="1"/>
  <c r="U144" i="1"/>
  <c r="V144" i="1"/>
  <c r="S226" i="1"/>
  <c r="R247" i="1"/>
  <c r="T146" i="1" l="1"/>
  <c r="U145" i="1"/>
  <c r="V145" i="1"/>
  <c r="S227" i="1"/>
  <c r="R248" i="1"/>
  <c r="T147" i="1" l="1"/>
  <c r="V146" i="1"/>
  <c r="U146" i="1"/>
  <c r="S228" i="1"/>
  <c r="R249" i="1"/>
  <c r="T148" i="1" l="1"/>
  <c r="V147" i="1"/>
  <c r="U147" i="1"/>
  <c r="S229" i="1"/>
  <c r="R250" i="1"/>
  <c r="T149" i="1" l="1"/>
  <c r="V148" i="1"/>
  <c r="U148" i="1"/>
  <c r="S230" i="1"/>
  <c r="R251" i="1"/>
  <c r="T150" i="1" l="1"/>
  <c r="V149" i="1"/>
  <c r="U149" i="1"/>
  <c r="S231" i="1"/>
  <c r="R252" i="1"/>
  <c r="T151" i="1" l="1"/>
  <c r="V150" i="1"/>
  <c r="U150" i="1"/>
  <c r="S232" i="1"/>
  <c r="R253" i="1"/>
  <c r="T152" i="1" l="1"/>
  <c r="V151" i="1"/>
  <c r="U151" i="1"/>
  <c r="S233" i="1"/>
  <c r="R254" i="1"/>
  <c r="T153" i="1" l="1"/>
  <c r="V152" i="1"/>
  <c r="U152" i="1"/>
  <c r="S234" i="1"/>
  <c r="R255" i="1"/>
  <c r="T154" i="1" l="1"/>
  <c r="U153" i="1"/>
  <c r="V153" i="1"/>
  <c r="S235" i="1"/>
  <c r="R256" i="1"/>
  <c r="T155" i="1" l="1"/>
  <c r="U154" i="1"/>
  <c r="V154" i="1"/>
  <c r="S236" i="1"/>
  <c r="R257" i="1"/>
  <c r="T156" i="1" l="1"/>
  <c r="U155" i="1"/>
  <c r="V155" i="1"/>
  <c r="S237" i="1"/>
  <c r="R258" i="1"/>
  <c r="T157" i="1" l="1"/>
  <c r="U156" i="1"/>
  <c r="V156" i="1"/>
  <c r="S238" i="1"/>
  <c r="R259" i="1"/>
  <c r="T158" i="1" l="1"/>
  <c r="U157" i="1"/>
  <c r="V157" i="1"/>
  <c r="S239" i="1"/>
  <c r="R260" i="1"/>
  <c r="T159" i="1" l="1"/>
  <c r="U158" i="1"/>
  <c r="V158" i="1"/>
  <c r="S240" i="1"/>
  <c r="R261" i="1"/>
  <c r="T160" i="1" l="1"/>
  <c r="U159" i="1"/>
  <c r="V159" i="1"/>
  <c r="S241" i="1"/>
  <c r="R262" i="1"/>
  <c r="T161" i="1" l="1"/>
  <c r="U160" i="1"/>
  <c r="V160" i="1"/>
  <c r="S242" i="1"/>
  <c r="R263" i="1"/>
  <c r="T162" i="1" l="1"/>
  <c r="U161" i="1"/>
  <c r="V161" i="1"/>
  <c r="S243" i="1"/>
  <c r="R264" i="1"/>
  <c r="T163" i="1" l="1"/>
  <c r="V162" i="1"/>
  <c r="U162" i="1"/>
  <c r="S244" i="1"/>
  <c r="R265" i="1"/>
  <c r="T164" i="1" l="1"/>
  <c r="U163" i="1"/>
  <c r="V163" i="1"/>
  <c r="S245" i="1"/>
  <c r="R266" i="1"/>
  <c r="T165" i="1" l="1"/>
  <c r="V164" i="1"/>
  <c r="U164" i="1"/>
  <c r="S246" i="1"/>
  <c r="R267" i="1"/>
  <c r="T166" i="1" l="1"/>
  <c r="U165" i="1"/>
  <c r="V165" i="1"/>
  <c r="S247" i="1"/>
  <c r="R268" i="1"/>
  <c r="T167" i="1" l="1"/>
  <c r="V166" i="1"/>
  <c r="U166" i="1"/>
  <c r="S248" i="1"/>
  <c r="R269" i="1"/>
  <c r="T168" i="1" l="1"/>
  <c r="V167" i="1"/>
  <c r="U167" i="1"/>
  <c r="S249" i="1"/>
  <c r="R270" i="1"/>
  <c r="T169" i="1" l="1"/>
  <c r="V168" i="1"/>
  <c r="U168" i="1"/>
  <c r="S250" i="1"/>
  <c r="R271" i="1"/>
  <c r="T170" i="1" l="1"/>
  <c r="U169" i="1"/>
  <c r="V169" i="1"/>
  <c r="S251" i="1"/>
  <c r="R272" i="1"/>
  <c r="T171" i="1" l="1"/>
  <c r="V170" i="1"/>
  <c r="U170" i="1"/>
  <c r="S252" i="1"/>
  <c r="R273" i="1"/>
  <c r="T172" i="1" l="1"/>
  <c r="V171" i="1"/>
  <c r="U171" i="1"/>
  <c r="S253" i="1"/>
  <c r="R274" i="1"/>
  <c r="T173" i="1" l="1"/>
  <c r="V172" i="1"/>
  <c r="U172" i="1"/>
  <c r="S254" i="1"/>
  <c r="R275" i="1"/>
  <c r="T174" i="1" l="1"/>
  <c r="U173" i="1"/>
  <c r="V173" i="1"/>
  <c r="S255" i="1"/>
  <c r="R276" i="1"/>
  <c r="T175" i="1" l="1"/>
  <c r="V174" i="1"/>
  <c r="U174" i="1"/>
  <c r="S256" i="1"/>
  <c r="R277" i="1"/>
  <c r="T176" i="1" l="1"/>
  <c r="U175" i="1"/>
  <c r="V175" i="1"/>
  <c r="S257" i="1"/>
  <c r="R278" i="1"/>
  <c r="T177" i="1" l="1"/>
  <c r="V176" i="1"/>
  <c r="U176" i="1"/>
  <c r="S258" i="1"/>
  <c r="R279" i="1"/>
  <c r="T178" i="1" l="1"/>
  <c r="U177" i="1"/>
  <c r="V177" i="1"/>
  <c r="S259" i="1"/>
  <c r="R280" i="1"/>
  <c r="T179" i="1" l="1"/>
  <c r="V178" i="1"/>
  <c r="U178" i="1"/>
  <c r="S260" i="1"/>
  <c r="R281" i="1"/>
  <c r="T180" i="1" l="1"/>
  <c r="U179" i="1"/>
  <c r="V179" i="1"/>
  <c r="S261" i="1"/>
  <c r="R282" i="1"/>
  <c r="T181" i="1" l="1"/>
  <c r="V180" i="1"/>
  <c r="U180" i="1"/>
  <c r="S262" i="1"/>
  <c r="R283" i="1"/>
  <c r="T182" i="1" l="1"/>
  <c r="V181" i="1"/>
  <c r="U181" i="1"/>
  <c r="S263" i="1"/>
  <c r="R284" i="1"/>
  <c r="T183" i="1" l="1"/>
  <c r="U182" i="1"/>
  <c r="V182" i="1"/>
  <c r="S264" i="1"/>
  <c r="R285" i="1"/>
  <c r="T184" i="1" l="1"/>
  <c r="V183" i="1"/>
  <c r="U183" i="1"/>
  <c r="S265" i="1"/>
  <c r="R286" i="1"/>
  <c r="T185" i="1" l="1"/>
  <c r="U184" i="1"/>
  <c r="V184" i="1"/>
  <c r="S266" i="1"/>
  <c r="R287" i="1"/>
  <c r="T186" i="1" l="1"/>
  <c r="V185" i="1"/>
  <c r="U185" i="1"/>
  <c r="S267" i="1"/>
  <c r="R288" i="1"/>
  <c r="T187" i="1" l="1"/>
  <c r="U186" i="1"/>
  <c r="V186" i="1"/>
  <c r="S268" i="1"/>
  <c r="R289" i="1"/>
  <c r="T188" i="1" l="1"/>
  <c r="U187" i="1"/>
  <c r="V187" i="1"/>
  <c r="S269" i="1"/>
  <c r="R290" i="1"/>
  <c r="T189" i="1" l="1"/>
  <c r="V188" i="1"/>
  <c r="U188" i="1"/>
  <c r="S270" i="1"/>
  <c r="R291" i="1"/>
  <c r="T190" i="1" l="1"/>
  <c r="V189" i="1"/>
  <c r="U189" i="1"/>
  <c r="S271" i="1"/>
  <c r="R292" i="1"/>
  <c r="T191" i="1" l="1"/>
  <c r="U190" i="1"/>
  <c r="V190" i="1"/>
  <c r="S272" i="1"/>
  <c r="R293" i="1"/>
  <c r="T192" i="1" l="1"/>
  <c r="V191" i="1"/>
  <c r="U191" i="1"/>
  <c r="S273" i="1"/>
  <c r="R294" i="1"/>
  <c r="T193" i="1" l="1"/>
  <c r="U192" i="1"/>
  <c r="V192" i="1"/>
  <c r="S274" i="1"/>
  <c r="R295" i="1"/>
  <c r="T194" i="1" l="1"/>
  <c r="V193" i="1"/>
  <c r="U193" i="1"/>
  <c r="S275" i="1"/>
  <c r="R296" i="1"/>
  <c r="T195" i="1" l="1"/>
  <c r="U194" i="1"/>
  <c r="V194" i="1"/>
  <c r="S276" i="1"/>
  <c r="R297" i="1"/>
  <c r="T196" i="1" l="1"/>
  <c r="U195" i="1"/>
  <c r="V195" i="1"/>
  <c r="S277" i="1"/>
  <c r="R298" i="1"/>
  <c r="T197" i="1" l="1"/>
  <c r="U196" i="1"/>
  <c r="V196" i="1"/>
  <c r="S278" i="1"/>
  <c r="R299" i="1"/>
  <c r="T198" i="1" l="1"/>
  <c r="V197" i="1"/>
  <c r="U197" i="1"/>
  <c r="S279" i="1"/>
  <c r="R300" i="1"/>
  <c r="T199" i="1" l="1"/>
  <c r="U198" i="1"/>
  <c r="V198" i="1"/>
  <c r="S280" i="1"/>
  <c r="R301" i="1"/>
  <c r="T200" i="1" l="1"/>
  <c r="U199" i="1"/>
  <c r="V199" i="1"/>
  <c r="S281" i="1"/>
  <c r="R302" i="1"/>
  <c r="T201" i="1" l="1"/>
  <c r="U200" i="1"/>
  <c r="V200" i="1"/>
  <c r="S282" i="1"/>
  <c r="R303" i="1"/>
  <c r="T202" i="1" l="1"/>
  <c r="U201" i="1"/>
  <c r="V201" i="1"/>
  <c r="S283" i="1"/>
  <c r="R304" i="1"/>
  <c r="T203" i="1" l="1"/>
  <c r="U202" i="1"/>
  <c r="V202" i="1"/>
  <c r="S284" i="1"/>
  <c r="R305" i="1"/>
  <c r="T204" i="1" l="1"/>
  <c r="U203" i="1"/>
  <c r="V203" i="1"/>
  <c r="S285" i="1"/>
  <c r="R306" i="1"/>
  <c r="T205" i="1" l="1"/>
  <c r="U204" i="1"/>
  <c r="V204" i="1"/>
  <c r="S286" i="1"/>
  <c r="R307" i="1"/>
  <c r="T206" i="1" l="1"/>
  <c r="U205" i="1"/>
  <c r="V205" i="1"/>
  <c r="S287" i="1"/>
  <c r="R308" i="1"/>
  <c r="T207" i="1" l="1"/>
  <c r="U206" i="1"/>
  <c r="V206" i="1"/>
  <c r="S288" i="1"/>
  <c r="R309" i="1"/>
  <c r="T208" i="1" l="1"/>
  <c r="U207" i="1"/>
  <c r="V207" i="1"/>
  <c r="S289" i="1"/>
  <c r="R310" i="1"/>
  <c r="T209" i="1" l="1"/>
  <c r="U208" i="1"/>
  <c r="V208" i="1"/>
  <c r="S290" i="1"/>
  <c r="R311" i="1"/>
  <c r="T210" i="1" l="1"/>
  <c r="U209" i="1"/>
  <c r="V209" i="1"/>
  <c r="S291" i="1"/>
  <c r="R312" i="1"/>
  <c r="T211" i="1" l="1"/>
  <c r="U210" i="1"/>
  <c r="V210" i="1"/>
  <c r="S292" i="1"/>
  <c r="R313" i="1"/>
  <c r="T212" i="1" l="1"/>
  <c r="U211" i="1"/>
  <c r="V211" i="1"/>
  <c r="S293" i="1"/>
  <c r="R314" i="1"/>
  <c r="T213" i="1" l="1"/>
  <c r="V212" i="1"/>
  <c r="U212" i="1"/>
  <c r="S294" i="1"/>
  <c r="R315" i="1"/>
  <c r="T214" i="1" l="1"/>
  <c r="U213" i="1"/>
  <c r="V213" i="1"/>
  <c r="S295" i="1"/>
  <c r="R316" i="1"/>
  <c r="T215" i="1" l="1"/>
  <c r="U214" i="1"/>
  <c r="V214" i="1"/>
  <c r="S296" i="1"/>
  <c r="R317" i="1"/>
  <c r="T216" i="1" l="1"/>
  <c r="U215" i="1"/>
  <c r="V215" i="1"/>
  <c r="S297" i="1"/>
  <c r="R318" i="1"/>
  <c r="T217" i="1" l="1"/>
  <c r="U216" i="1"/>
  <c r="V216" i="1"/>
  <c r="S298" i="1"/>
  <c r="R319" i="1"/>
  <c r="T218" i="1" l="1"/>
  <c r="U217" i="1"/>
  <c r="V217" i="1"/>
  <c r="S299" i="1"/>
  <c r="R320" i="1"/>
  <c r="T219" i="1" l="1"/>
  <c r="U218" i="1"/>
  <c r="V218" i="1"/>
  <c r="S300" i="1"/>
  <c r="R321" i="1"/>
  <c r="T220" i="1" l="1"/>
  <c r="U219" i="1"/>
  <c r="V219" i="1"/>
  <c r="S301" i="1"/>
  <c r="R322" i="1"/>
  <c r="T221" i="1" l="1"/>
  <c r="U220" i="1"/>
  <c r="V220" i="1"/>
  <c r="S302" i="1"/>
  <c r="R323" i="1"/>
  <c r="T222" i="1" l="1"/>
  <c r="U221" i="1"/>
  <c r="V221" i="1"/>
  <c r="S303" i="1"/>
  <c r="R324" i="1"/>
  <c r="T223" i="1" l="1"/>
  <c r="U222" i="1"/>
  <c r="V222" i="1"/>
  <c r="S304" i="1"/>
  <c r="R325" i="1"/>
  <c r="T224" i="1" l="1"/>
  <c r="U223" i="1"/>
  <c r="V223" i="1"/>
  <c r="S305" i="1"/>
  <c r="R326" i="1"/>
  <c r="T225" i="1" l="1"/>
  <c r="V224" i="1"/>
  <c r="U224" i="1"/>
  <c r="S306" i="1"/>
  <c r="R327" i="1"/>
  <c r="T226" i="1" l="1"/>
  <c r="U225" i="1"/>
  <c r="V225" i="1"/>
  <c r="S307" i="1"/>
  <c r="R328" i="1"/>
  <c r="T227" i="1" l="1"/>
  <c r="V226" i="1"/>
  <c r="U226" i="1"/>
  <c r="S308" i="1"/>
  <c r="R329" i="1"/>
  <c r="T228" i="1" l="1"/>
  <c r="V227" i="1"/>
  <c r="U227" i="1"/>
  <c r="S309" i="1"/>
  <c r="R330" i="1"/>
  <c r="T229" i="1" l="1"/>
  <c r="V228" i="1"/>
  <c r="U228" i="1"/>
  <c r="S310" i="1"/>
  <c r="R331" i="1"/>
  <c r="T230" i="1" l="1"/>
  <c r="V229" i="1"/>
  <c r="U229" i="1"/>
  <c r="S311" i="1"/>
  <c r="R332" i="1"/>
  <c r="T231" i="1" l="1"/>
  <c r="U230" i="1"/>
  <c r="V230" i="1"/>
  <c r="S312" i="1"/>
  <c r="R333" i="1"/>
  <c r="T232" i="1" l="1"/>
  <c r="V231" i="1"/>
  <c r="U231" i="1"/>
  <c r="S313" i="1"/>
  <c r="R334" i="1"/>
  <c r="T233" i="1" l="1"/>
  <c r="U232" i="1"/>
  <c r="V232" i="1"/>
  <c r="S314" i="1"/>
  <c r="R335" i="1"/>
  <c r="T234" i="1" l="1"/>
  <c r="U233" i="1"/>
  <c r="V233" i="1"/>
  <c r="S315" i="1"/>
  <c r="R336" i="1"/>
  <c r="T235" i="1" l="1"/>
  <c r="U234" i="1"/>
  <c r="V234" i="1"/>
  <c r="S316" i="1"/>
  <c r="R337" i="1"/>
  <c r="T236" i="1" l="1"/>
  <c r="V235" i="1"/>
  <c r="U235" i="1"/>
  <c r="S317" i="1"/>
  <c r="R338" i="1"/>
  <c r="T237" i="1" l="1"/>
  <c r="U236" i="1"/>
  <c r="V236" i="1"/>
  <c r="S318" i="1"/>
  <c r="R339" i="1"/>
  <c r="T238" i="1" l="1"/>
  <c r="V237" i="1"/>
  <c r="U237" i="1"/>
  <c r="S319" i="1"/>
  <c r="R340" i="1"/>
  <c r="T239" i="1" l="1"/>
  <c r="V238" i="1"/>
  <c r="U238" i="1"/>
  <c r="S320" i="1"/>
  <c r="R341" i="1"/>
  <c r="T240" i="1" l="1"/>
  <c r="U239" i="1"/>
  <c r="V239" i="1"/>
  <c r="S321" i="1"/>
  <c r="R342" i="1"/>
  <c r="T241" i="1" l="1"/>
  <c r="V240" i="1"/>
  <c r="U240" i="1"/>
  <c r="S322" i="1"/>
  <c r="R343" i="1"/>
  <c r="T242" i="1" l="1"/>
  <c r="V241" i="1"/>
  <c r="U241" i="1"/>
  <c r="S323" i="1"/>
  <c r="R344" i="1"/>
  <c r="T243" i="1" l="1"/>
  <c r="V242" i="1"/>
  <c r="U242" i="1"/>
  <c r="S324" i="1"/>
  <c r="R345" i="1"/>
  <c r="T244" i="1" l="1"/>
  <c r="V243" i="1"/>
  <c r="U243" i="1"/>
  <c r="S325" i="1"/>
  <c r="R346" i="1"/>
  <c r="T245" i="1" l="1"/>
  <c r="V244" i="1"/>
  <c r="U244" i="1"/>
  <c r="S326" i="1"/>
  <c r="R347" i="1"/>
  <c r="T246" i="1" l="1"/>
  <c r="V245" i="1"/>
  <c r="U245" i="1"/>
  <c r="S327" i="1"/>
  <c r="R348" i="1"/>
  <c r="T247" i="1" l="1"/>
  <c r="V246" i="1"/>
  <c r="U246" i="1"/>
  <c r="S328" i="1"/>
  <c r="R349" i="1"/>
  <c r="T248" i="1" l="1"/>
  <c r="V247" i="1"/>
  <c r="U247" i="1"/>
  <c r="S329" i="1"/>
  <c r="R350" i="1"/>
  <c r="T249" i="1" l="1"/>
  <c r="V248" i="1"/>
  <c r="U248" i="1"/>
  <c r="S330" i="1"/>
  <c r="R351" i="1"/>
  <c r="T250" i="1" l="1"/>
  <c r="V249" i="1"/>
  <c r="U249" i="1"/>
  <c r="S331" i="1"/>
  <c r="R352" i="1"/>
  <c r="T251" i="1" l="1"/>
  <c r="V250" i="1"/>
  <c r="U250" i="1"/>
  <c r="S332" i="1"/>
  <c r="R353" i="1"/>
  <c r="T252" i="1" l="1"/>
  <c r="U251" i="1"/>
  <c r="V251" i="1"/>
  <c r="S333" i="1"/>
  <c r="R354" i="1"/>
  <c r="T253" i="1" l="1"/>
  <c r="V252" i="1"/>
  <c r="U252" i="1"/>
  <c r="S334" i="1"/>
  <c r="R355" i="1"/>
  <c r="T254" i="1" l="1"/>
  <c r="V253" i="1"/>
  <c r="U253" i="1"/>
  <c r="S335" i="1"/>
  <c r="R356" i="1"/>
  <c r="T255" i="1" l="1"/>
  <c r="V254" i="1"/>
  <c r="U254" i="1"/>
  <c r="S336" i="1"/>
  <c r="R357" i="1"/>
  <c r="T256" i="1" l="1"/>
  <c r="U255" i="1"/>
  <c r="V255" i="1"/>
  <c r="S337" i="1"/>
  <c r="R358" i="1"/>
  <c r="T257" i="1" l="1"/>
  <c r="V256" i="1"/>
  <c r="U256" i="1"/>
  <c r="S338" i="1"/>
  <c r="R359" i="1"/>
  <c r="T258" i="1" l="1"/>
  <c r="V257" i="1"/>
  <c r="U257" i="1"/>
  <c r="S339" i="1"/>
  <c r="R360" i="1"/>
  <c r="T259" i="1" l="1"/>
  <c r="V258" i="1"/>
  <c r="U258" i="1"/>
  <c r="S340" i="1"/>
  <c r="R361" i="1"/>
  <c r="T260" i="1" l="1"/>
  <c r="U259" i="1"/>
  <c r="V259" i="1"/>
  <c r="S341" i="1"/>
  <c r="R362" i="1"/>
  <c r="T261" i="1" l="1"/>
  <c r="V260" i="1"/>
  <c r="U260" i="1"/>
  <c r="S342" i="1"/>
  <c r="R363" i="1"/>
  <c r="T262" i="1" l="1"/>
  <c r="V261" i="1"/>
  <c r="U261" i="1"/>
  <c r="S343" i="1"/>
  <c r="R364" i="1"/>
  <c r="T263" i="1" l="1"/>
  <c r="V262" i="1"/>
  <c r="U262" i="1"/>
  <c r="S344" i="1"/>
  <c r="R365" i="1"/>
  <c r="T264" i="1" l="1"/>
  <c r="V263" i="1"/>
  <c r="U263" i="1"/>
  <c r="S345" i="1"/>
  <c r="R366" i="1"/>
  <c r="T265" i="1" l="1"/>
  <c r="V264" i="1"/>
  <c r="U264" i="1"/>
  <c r="S346" i="1"/>
  <c r="R367" i="1"/>
  <c r="T266" i="1" l="1"/>
  <c r="V265" i="1"/>
  <c r="U265" i="1"/>
  <c r="S347" i="1"/>
  <c r="R368" i="1"/>
  <c r="T267" i="1" l="1"/>
  <c r="U266" i="1"/>
  <c r="V266" i="1"/>
  <c r="S348" i="1"/>
  <c r="R369" i="1"/>
  <c r="T268" i="1" l="1"/>
  <c r="U267" i="1"/>
  <c r="V267" i="1"/>
  <c r="S349" i="1"/>
  <c r="R370" i="1"/>
  <c r="T269" i="1" l="1"/>
  <c r="U268" i="1"/>
  <c r="V268" i="1"/>
  <c r="S350" i="1"/>
  <c r="R371" i="1"/>
  <c r="T270" i="1" l="1"/>
  <c r="U269" i="1"/>
  <c r="V269" i="1"/>
  <c r="S351" i="1"/>
  <c r="R372" i="1"/>
  <c r="T271" i="1" l="1"/>
  <c r="U270" i="1"/>
  <c r="V270" i="1"/>
  <c r="S352" i="1"/>
  <c r="R373" i="1"/>
  <c r="T272" i="1" l="1"/>
  <c r="V271" i="1"/>
  <c r="U271" i="1"/>
  <c r="S353" i="1"/>
  <c r="R374" i="1"/>
  <c r="T273" i="1" l="1"/>
  <c r="V272" i="1"/>
  <c r="U272" i="1"/>
  <c r="S354" i="1"/>
  <c r="R375" i="1"/>
  <c r="T274" i="1" l="1"/>
  <c r="U273" i="1"/>
  <c r="V273" i="1"/>
  <c r="S355" i="1"/>
  <c r="R376" i="1"/>
  <c r="T275" i="1" l="1"/>
  <c r="U274" i="1"/>
  <c r="V274" i="1"/>
  <c r="S356" i="1"/>
  <c r="R377" i="1"/>
  <c r="T276" i="1" l="1"/>
  <c r="V275" i="1"/>
  <c r="U275" i="1"/>
  <c r="S357" i="1"/>
  <c r="R378" i="1"/>
  <c r="T277" i="1" l="1"/>
  <c r="V276" i="1"/>
  <c r="U276" i="1"/>
  <c r="S358" i="1"/>
  <c r="R379" i="1"/>
  <c r="T278" i="1" l="1"/>
  <c r="V277" i="1"/>
  <c r="U277" i="1"/>
  <c r="S359" i="1"/>
  <c r="R380" i="1"/>
  <c r="T279" i="1" l="1"/>
  <c r="V278" i="1"/>
  <c r="U278" i="1"/>
  <c r="S360" i="1"/>
  <c r="R381" i="1"/>
  <c r="T280" i="1" l="1"/>
  <c r="U279" i="1"/>
  <c r="V279" i="1"/>
  <c r="S361" i="1"/>
  <c r="T281" i="1" l="1"/>
  <c r="V280" i="1"/>
  <c r="U280" i="1"/>
  <c r="S362" i="1"/>
  <c r="T282" i="1" l="1"/>
  <c r="V281" i="1"/>
  <c r="U281" i="1"/>
  <c r="S363" i="1"/>
  <c r="T283" i="1" l="1"/>
  <c r="V282" i="1"/>
  <c r="U282" i="1"/>
  <c r="S364" i="1"/>
  <c r="T284" i="1" l="1"/>
  <c r="V283" i="1"/>
  <c r="U283" i="1"/>
  <c r="S365" i="1"/>
  <c r="T285" i="1" l="1"/>
  <c r="V284" i="1"/>
  <c r="U284" i="1"/>
  <c r="S366" i="1"/>
  <c r="T286" i="1" l="1"/>
  <c r="U285" i="1"/>
  <c r="V285" i="1"/>
  <c r="S367" i="1"/>
  <c r="T287" i="1" l="1"/>
  <c r="U286" i="1"/>
  <c r="V286" i="1"/>
  <c r="S368" i="1"/>
  <c r="T288" i="1" l="1"/>
  <c r="V287" i="1"/>
  <c r="U287" i="1"/>
  <c r="S369" i="1"/>
  <c r="T289" i="1" l="1"/>
  <c r="U288" i="1"/>
  <c r="V288" i="1"/>
  <c r="S370" i="1"/>
  <c r="T290" i="1" l="1"/>
  <c r="U289" i="1"/>
  <c r="V289" i="1"/>
  <c r="S371" i="1"/>
  <c r="T291" i="1" l="1"/>
  <c r="V290" i="1"/>
  <c r="U290" i="1"/>
  <c r="S372" i="1"/>
  <c r="T292" i="1" l="1"/>
  <c r="V291" i="1"/>
  <c r="U291" i="1"/>
  <c r="S373" i="1"/>
  <c r="T293" i="1" l="1"/>
  <c r="V292" i="1"/>
  <c r="U292" i="1"/>
  <c r="S374" i="1"/>
  <c r="T294" i="1" l="1"/>
  <c r="V293" i="1"/>
  <c r="U293" i="1"/>
  <c r="S375" i="1"/>
  <c r="T295" i="1" l="1"/>
  <c r="U294" i="1"/>
  <c r="V294" i="1"/>
  <c r="S376" i="1"/>
  <c r="T296" i="1" l="1"/>
  <c r="V295" i="1"/>
  <c r="U295" i="1"/>
  <c r="S377" i="1"/>
  <c r="T297" i="1" l="1"/>
  <c r="V296" i="1"/>
  <c r="U296" i="1"/>
  <c r="S378" i="1"/>
  <c r="T298" i="1" l="1"/>
  <c r="V297" i="1"/>
  <c r="U297" i="1"/>
  <c r="S379" i="1"/>
  <c r="T299" i="1" l="1"/>
  <c r="V298" i="1"/>
  <c r="U298" i="1"/>
  <c r="S380" i="1"/>
  <c r="T300" i="1" l="1"/>
  <c r="V299" i="1"/>
  <c r="U299" i="1"/>
  <c r="S381" i="1"/>
  <c r="T301" i="1" l="1"/>
  <c r="U300" i="1"/>
  <c r="V300" i="1"/>
  <c r="T302" i="1" l="1"/>
  <c r="U301" i="1"/>
  <c r="V301" i="1"/>
  <c r="T303" i="1" l="1"/>
  <c r="V302" i="1"/>
  <c r="U302" i="1"/>
  <c r="T304" i="1" l="1"/>
  <c r="U303" i="1"/>
  <c r="V303" i="1"/>
  <c r="T305" i="1" l="1"/>
  <c r="U304" i="1"/>
  <c r="V304" i="1"/>
  <c r="T306" i="1" l="1"/>
  <c r="U305" i="1"/>
  <c r="V305" i="1"/>
  <c r="T307" i="1" l="1"/>
  <c r="V306" i="1"/>
  <c r="U306" i="1"/>
  <c r="T308" i="1" l="1"/>
  <c r="V307" i="1"/>
  <c r="U307" i="1"/>
  <c r="T309" i="1" l="1"/>
  <c r="U308" i="1"/>
  <c r="V308" i="1"/>
  <c r="T310" i="1" l="1"/>
  <c r="U309" i="1"/>
  <c r="V309" i="1"/>
  <c r="T311" i="1" l="1"/>
  <c r="V310" i="1"/>
  <c r="U310" i="1"/>
  <c r="T312" i="1" l="1"/>
  <c r="U311" i="1"/>
  <c r="V311" i="1"/>
  <c r="T313" i="1" l="1"/>
  <c r="U312" i="1"/>
  <c r="V312" i="1"/>
  <c r="T314" i="1" l="1"/>
  <c r="U313" i="1"/>
  <c r="V313" i="1"/>
  <c r="T315" i="1" l="1"/>
  <c r="U314" i="1"/>
  <c r="V314" i="1"/>
  <c r="T316" i="1" l="1"/>
  <c r="U315" i="1"/>
  <c r="V315" i="1"/>
  <c r="T317" i="1" l="1"/>
  <c r="V316" i="1"/>
  <c r="U316" i="1"/>
  <c r="T318" i="1" l="1"/>
  <c r="U317" i="1"/>
  <c r="V317" i="1"/>
  <c r="T319" i="1" l="1"/>
  <c r="V318" i="1"/>
  <c r="U318" i="1"/>
  <c r="T320" i="1" l="1"/>
  <c r="V319" i="1"/>
  <c r="U319" i="1"/>
  <c r="T321" i="1" l="1"/>
  <c r="U320" i="1"/>
  <c r="V320" i="1"/>
  <c r="T322" i="1" l="1"/>
  <c r="U321" i="1"/>
  <c r="V321" i="1"/>
  <c r="T323" i="1" l="1"/>
  <c r="V322" i="1"/>
  <c r="U322" i="1"/>
  <c r="T324" i="1" l="1"/>
  <c r="U323" i="1"/>
  <c r="V323" i="1"/>
  <c r="T325" i="1" l="1"/>
  <c r="V324" i="1"/>
  <c r="U324" i="1"/>
  <c r="T326" i="1" l="1"/>
  <c r="U325" i="1"/>
  <c r="V325" i="1"/>
  <c r="T327" i="1" l="1"/>
  <c r="U326" i="1"/>
  <c r="V326" i="1"/>
  <c r="T328" i="1" l="1"/>
  <c r="V327" i="1"/>
  <c r="U327" i="1"/>
  <c r="T329" i="1" l="1"/>
  <c r="V328" i="1"/>
  <c r="U328" i="1"/>
  <c r="T330" i="1" l="1"/>
  <c r="U329" i="1"/>
  <c r="V329" i="1"/>
  <c r="T331" i="1" l="1"/>
  <c r="U330" i="1"/>
  <c r="V330" i="1"/>
  <c r="T332" i="1" l="1"/>
  <c r="U331" i="1"/>
  <c r="V331" i="1"/>
  <c r="T333" i="1" l="1"/>
  <c r="U332" i="1"/>
  <c r="V332" i="1"/>
  <c r="T334" i="1" l="1"/>
  <c r="U333" i="1"/>
  <c r="V333" i="1"/>
  <c r="T335" i="1" l="1"/>
  <c r="V334" i="1"/>
  <c r="U334" i="1"/>
  <c r="T336" i="1" l="1"/>
  <c r="V335" i="1"/>
  <c r="U335" i="1"/>
  <c r="T337" i="1" l="1"/>
  <c r="V336" i="1"/>
  <c r="U336" i="1"/>
  <c r="T338" i="1" l="1"/>
  <c r="U337" i="1"/>
  <c r="V337" i="1"/>
  <c r="T339" i="1" l="1"/>
  <c r="U338" i="1"/>
  <c r="V338" i="1"/>
  <c r="T340" i="1" l="1"/>
  <c r="V339" i="1"/>
  <c r="U339" i="1"/>
  <c r="T341" i="1" l="1"/>
  <c r="U340" i="1"/>
  <c r="V340" i="1"/>
  <c r="T342" i="1" l="1"/>
  <c r="U341" i="1"/>
  <c r="V341" i="1"/>
  <c r="T343" i="1" l="1"/>
  <c r="U342" i="1"/>
  <c r="V342" i="1"/>
  <c r="T344" i="1" l="1"/>
  <c r="V343" i="1"/>
  <c r="U343" i="1"/>
  <c r="T345" i="1" l="1"/>
  <c r="U344" i="1"/>
  <c r="V344" i="1"/>
  <c r="T346" i="1" l="1"/>
  <c r="U345" i="1"/>
  <c r="V345" i="1"/>
  <c r="T347" i="1" l="1"/>
  <c r="U346" i="1"/>
  <c r="V346" i="1"/>
  <c r="T348" i="1" l="1"/>
  <c r="U347" i="1"/>
  <c r="V347" i="1"/>
  <c r="T349" i="1" l="1"/>
  <c r="U348" i="1"/>
  <c r="V348" i="1"/>
  <c r="T350" i="1" l="1"/>
  <c r="U349" i="1"/>
  <c r="V349" i="1"/>
  <c r="T351" i="1" l="1"/>
  <c r="U350" i="1"/>
  <c r="V350" i="1"/>
  <c r="T352" i="1" l="1"/>
  <c r="V351" i="1"/>
  <c r="U351" i="1"/>
  <c r="T353" i="1" l="1"/>
  <c r="U352" i="1"/>
  <c r="V352" i="1"/>
  <c r="T354" i="1" l="1"/>
  <c r="V353" i="1"/>
  <c r="U353" i="1"/>
  <c r="T355" i="1" l="1"/>
  <c r="V354" i="1"/>
  <c r="U354" i="1"/>
  <c r="T356" i="1" l="1"/>
  <c r="U355" i="1"/>
  <c r="V355" i="1"/>
  <c r="T357" i="1" l="1"/>
  <c r="U356" i="1"/>
  <c r="V356" i="1"/>
  <c r="T358" i="1" l="1"/>
  <c r="U357" i="1"/>
  <c r="V357" i="1"/>
  <c r="T359" i="1" l="1"/>
  <c r="V358" i="1"/>
  <c r="U358" i="1"/>
  <c r="T360" i="1" l="1"/>
  <c r="V359" i="1"/>
  <c r="U359" i="1"/>
  <c r="T361" i="1" l="1"/>
  <c r="U360" i="1"/>
  <c r="V360" i="1"/>
  <c r="T362" i="1" l="1"/>
  <c r="U361" i="1"/>
  <c r="V361" i="1"/>
  <c r="T363" i="1" l="1"/>
  <c r="U362" i="1"/>
  <c r="V362" i="1"/>
  <c r="T364" i="1" l="1"/>
  <c r="U363" i="1"/>
  <c r="V363" i="1"/>
  <c r="T365" i="1" l="1"/>
  <c r="U364" i="1"/>
  <c r="V364" i="1"/>
  <c r="T366" i="1" l="1"/>
  <c r="U365" i="1"/>
  <c r="V365" i="1"/>
  <c r="T367" i="1" l="1"/>
  <c r="U366" i="1"/>
  <c r="V366" i="1"/>
  <c r="T368" i="1" l="1"/>
  <c r="U367" i="1"/>
  <c r="V367" i="1"/>
  <c r="T369" i="1" l="1"/>
  <c r="U368" i="1"/>
  <c r="V368" i="1"/>
  <c r="T370" i="1" l="1"/>
  <c r="U369" i="1"/>
  <c r="V369" i="1"/>
  <c r="T371" i="1" l="1"/>
  <c r="U370" i="1"/>
  <c r="V370" i="1"/>
  <c r="T372" i="1" l="1"/>
  <c r="U371" i="1"/>
  <c r="V371" i="1"/>
  <c r="T373" i="1" l="1"/>
  <c r="U372" i="1"/>
  <c r="V372" i="1"/>
  <c r="T374" i="1" l="1"/>
  <c r="U373" i="1"/>
  <c r="V373" i="1"/>
  <c r="T375" i="1" l="1"/>
  <c r="V374" i="1"/>
  <c r="U374" i="1"/>
  <c r="T376" i="1" l="1"/>
  <c r="U375" i="1"/>
  <c r="V375" i="1"/>
  <c r="T377" i="1" l="1"/>
  <c r="V376" i="1"/>
  <c r="U376" i="1"/>
  <c r="T378" i="1" l="1"/>
  <c r="V377" i="1"/>
  <c r="U377" i="1"/>
  <c r="T379" i="1" l="1"/>
  <c r="U378" i="1"/>
  <c r="V378" i="1"/>
  <c r="T380" i="1" l="1"/>
  <c r="U379" i="1"/>
  <c r="V379" i="1"/>
  <c r="T381" i="1" l="1"/>
  <c r="V380" i="1"/>
  <c r="U380" i="1"/>
  <c r="V381" i="1" l="1"/>
  <c r="U381" i="1"/>
  <c r="X1" i="1" l="1"/>
  <c r="X2" i="1"/>
  <c r="W1" i="1"/>
  <c r="W2" i="1"/>
  <c r="X381" i="1" l="1"/>
  <c r="W43" i="1"/>
  <c r="W188" i="1"/>
  <c r="W269" i="1"/>
  <c r="W132" i="1"/>
  <c r="W213" i="1"/>
  <c r="W76" i="1"/>
  <c r="W162" i="1"/>
  <c r="W20" i="1"/>
  <c r="W218" i="1"/>
  <c r="W81" i="1"/>
  <c r="W226" i="1"/>
  <c r="W89" i="1"/>
  <c r="W239" i="1"/>
  <c r="W174" i="1"/>
  <c r="W32" i="1"/>
  <c r="W252" i="1"/>
  <c r="W182" i="1"/>
  <c r="W40" i="1"/>
  <c r="W260" i="1"/>
  <c r="W42" i="1"/>
  <c r="W262" i="1"/>
  <c r="W125" i="1"/>
  <c r="W206" i="1"/>
  <c r="W69" i="1"/>
  <c r="W155" i="1"/>
  <c r="W13" i="1"/>
  <c r="W99" i="1"/>
  <c r="W53" i="1"/>
  <c r="W217" i="1"/>
  <c r="W80" i="1"/>
  <c r="W296" i="1"/>
  <c r="W225" i="1"/>
  <c r="W88" i="1"/>
  <c r="W300" i="1"/>
  <c r="W264" i="1"/>
  <c r="W111" i="1"/>
  <c r="W251" i="1"/>
  <c r="W256" i="1"/>
  <c r="W119" i="1"/>
  <c r="W259" i="1"/>
  <c r="W214" i="1"/>
  <c r="W30" i="1"/>
  <c r="W113" i="1"/>
  <c r="W258" i="1"/>
  <c r="W21" i="1"/>
  <c r="W64" i="1"/>
  <c r="W209" i="1"/>
  <c r="W169" i="1"/>
  <c r="W107" i="1"/>
  <c r="W247" i="1"/>
  <c r="W51" i="1"/>
  <c r="W7" i="1"/>
  <c r="W277" i="1"/>
  <c r="W140" i="1"/>
  <c r="W221" i="1"/>
  <c r="W84" i="1"/>
  <c r="W62" i="1"/>
  <c r="W282" i="1"/>
  <c r="W145" i="1"/>
  <c r="W70" i="1"/>
  <c r="W290" i="1"/>
  <c r="W74" i="1"/>
  <c r="W293" i="1"/>
  <c r="W18" i="1"/>
  <c r="W238" i="1"/>
  <c r="W101" i="1"/>
  <c r="W187" i="1"/>
  <c r="W45" i="1"/>
  <c r="W131" i="1"/>
  <c r="W117" i="1"/>
  <c r="W249" i="1"/>
  <c r="W112" i="1"/>
  <c r="W257" i="1"/>
  <c r="W120" i="1"/>
  <c r="W294" i="1"/>
  <c r="W143" i="1"/>
  <c r="W283" i="1"/>
  <c r="W288" i="1"/>
  <c r="W151" i="1"/>
  <c r="W291" i="1"/>
  <c r="W11" i="1"/>
  <c r="W156" i="1"/>
  <c r="W237" i="1"/>
  <c r="W100" i="1"/>
  <c r="W186" i="1"/>
  <c r="W44" i="1"/>
  <c r="W130" i="1"/>
  <c r="W191" i="1"/>
  <c r="W49" i="1"/>
  <c r="W194" i="1"/>
  <c r="W57" i="1"/>
  <c r="W180" i="1"/>
  <c r="W142" i="1"/>
  <c r="W220" i="1"/>
  <c r="W150" i="1"/>
  <c r="W228" i="1"/>
  <c r="W52" i="1"/>
  <c r="W250" i="1"/>
  <c r="W38" i="1"/>
  <c r="W121" i="1"/>
  <c r="W201" i="1"/>
  <c r="W284" i="1"/>
  <c r="W299" i="1"/>
  <c r="W138" i="1"/>
  <c r="W82" i="1"/>
  <c r="W297" i="1"/>
  <c r="W26" i="1"/>
  <c r="W246" i="1"/>
  <c r="W109" i="1"/>
  <c r="W5" i="1"/>
  <c r="W189" i="1"/>
  <c r="W31" i="1"/>
  <c r="W176" i="1"/>
  <c r="W181" i="1"/>
  <c r="W39" i="1"/>
  <c r="W184" i="1"/>
  <c r="W153" i="1"/>
  <c r="W85" i="1"/>
  <c r="W233" i="1"/>
  <c r="W96" i="1"/>
  <c r="W241" i="1"/>
  <c r="W104" i="1"/>
  <c r="W229" i="1"/>
  <c r="W92" i="1"/>
  <c r="W178" i="1"/>
  <c r="W36" i="1"/>
  <c r="W122" i="1"/>
  <c r="W108" i="1"/>
  <c r="W10" i="1"/>
  <c r="W280" i="1"/>
  <c r="W267" i="1"/>
  <c r="W135" i="1"/>
  <c r="W295" i="1"/>
  <c r="W86" i="1"/>
  <c r="W292" i="1"/>
  <c r="W197" i="1"/>
  <c r="W60" i="1"/>
  <c r="W146" i="1"/>
  <c r="W90" i="1"/>
  <c r="W301" i="1"/>
  <c r="W34" i="1"/>
  <c r="W254" i="1"/>
  <c r="W248" i="1"/>
  <c r="W95" i="1"/>
  <c r="W235" i="1"/>
  <c r="W240" i="1"/>
  <c r="W103" i="1"/>
  <c r="W243" i="1"/>
  <c r="W46" i="1"/>
  <c r="W266" i="1"/>
  <c r="W129" i="1"/>
  <c r="W54" i="1"/>
  <c r="W274" i="1"/>
  <c r="W137" i="1"/>
  <c r="W139" i="1"/>
  <c r="W279" i="1"/>
  <c r="W83" i="1"/>
  <c r="W223" i="1"/>
  <c r="W27" i="1"/>
  <c r="W172" i="1"/>
  <c r="W253" i="1"/>
  <c r="W116" i="1"/>
  <c r="W94" i="1"/>
  <c r="W177" i="1"/>
  <c r="W102" i="1"/>
  <c r="W185" i="1"/>
  <c r="W149" i="1"/>
  <c r="W265" i="1"/>
  <c r="W128" i="1"/>
  <c r="W273" i="1"/>
  <c r="W136" i="1"/>
  <c r="W163" i="1"/>
  <c r="W281" i="1"/>
  <c r="W152" i="1"/>
  <c r="W33" i="1"/>
  <c r="W55" i="1"/>
  <c r="W9" i="1"/>
  <c r="W230" i="1"/>
  <c r="W93" i="1"/>
  <c r="W179" i="1"/>
  <c r="W37" i="1"/>
  <c r="W123" i="1"/>
  <c r="W263" i="1"/>
  <c r="W67" i="1"/>
  <c r="W271" i="1"/>
  <c r="W190" i="1"/>
  <c r="W48" i="1"/>
  <c r="W268" i="1"/>
  <c r="W193" i="1"/>
  <c r="W56" i="1"/>
  <c r="W276" i="1"/>
  <c r="W232" i="1"/>
  <c r="W79" i="1"/>
  <c r="W219" i="1"/>
  <c r="W224" i="1"/>
  <c r="W87" i="1"/>
  <c r="W227" i="1"/>
  <c r="W106" i="1"/>
  <c r="W50" i="1"/>
  <c r="W270" i="1"/>
  <c r="W133" i="1"/>
  <c r="W66" i="1"/>
  <c r="W207" i="1"/>
  <c r="W16" i="1"/>
  <c r="W166" i="1"/>
  <c r="W244" i="1"/>
  <c r="W47" i="1"/>
  <c r="W192" i="1"/>
  <c r="W41" i="1"/>
  <c r="W202" i="1"/>
  <c r="W65" i="1"/>
  <c r="W210" i="1"/>
  <c r="W73" i="1"/>
  <c r="W198" i="1"/>
  <c r="W61" i="1"/>
  <c r="W147" i="1"/>
  <c r="W287" i="1"/>
  <c r="W91" i="1"/>
  <c r="W77" i="1"/>
  <c r="W286" i="1"/>
  <c r="W127" i="1"/>
  <c r="W272" i="1"/>
  <c r="W275" i="1"/>
  <c r="W78" i="1"/>
  <c r="W161" i="1"/>
  <c r="W72" i="1"/>
  <c r="W171" i="1"/>
  <c r="W29" i="1"/>
  <c r="W115" i="1"/>
  <c r="W255" i="1"/>
  <c r="W59" i="1"/>
  <c r="W199" i="1"/>
  <c r="W285" i="1"/>
  <c r="W148" i="1"/>
  <c r="W126" i="1"/>
  <c r="W204" i="1"/>
  <c r="W134" i="1"/>
  <c r="W212" i="1"/>
  <c r="W173" i="1"/>
  <c r="W15" i="1"/>
  <c r="W160" i="1"/>
  <c r="W165" i="1"/>
  <c r="W23" i="1"/>
  <c r="W168" i="1"/>
  <c r="W170" i="1"/>
  <c r="W28" i="1"/>
  <c r="W114" i="1"/>
  <c r="W58" i="1"/>
  <c r="W278" i="1"/>
  <c r="W141" i="1"/>
  <c r="W222" i="1"/>
  <c r="W216" i="1"/>
  <c r="W63" i="1"/>
  <c r="W203" i="1"/>
  <c r="W208" i="1"/>
  <c r="W71" i="1"/>
  <c r="W211" i="1"/>
  <c r="W14" i="1"/>
  <c r="W234" i="1"/>
  <c r="W97" i="1"/>
  <c r="W22" i="1"/>
  <c r="W242" i="1"/>
  <c r="W105" i="1"/>
  <c r="W157" i="1"/>
  <c r="W144" i="1"/>
  <c r="W289" i="1"/>
  <c r="W175" i="1"/>
  <c r="W195" i="1"/>
  <c r="W261" i="1"/>
  <c r="W124" i="1"/>
  <c r="W205" i="1"/>
  <c r="W68" i="1"/>
  <c r="W154" i="1"/>
  <c r="W12" i="1"/>
  <c r="W98" i="1"/>
  <c r="W302" i="1"/>
  <c r="W159" i="1"/>
  <c r="W17" i="1"/>
  <c r="W298" i="1"/>
  <c r="W167" i="1"/>
  <c r="W25" i="1"/>
  <c r="W110" i="1"/>
  <c r="W8" i="1"/>
  <c r="W118" i="1"/>
  <c r="W196" i="1"/>
  <c r="W75" i="1"/>
  <c r="W215" i="1"/>
  <c r="W19" i="1"/>
  <c r="W164" i="1"/>
  <c r="W245" i="1"/>
  <c r="W231" i="1"/>
  <c r="W35" i="1"/>
  <c r="W158" i="1"/>
  <c r="W236" i="1"/>
  <c r="W24" i="1"/>
  <c r="W200" i="1"/>
  <c r="W6" i="1"/>
  <c r="W183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X151" i="1"/>
  <c r="X95" i="1"/>
  <c r="X283" i="1"/>
  <c r="X241" i="1"/>
  <c r="X292" i="1"/>
  <c r="X39" i="1"/>
  <c r="X222" i="1"/>
  <c r="X126" i="1"/>
  <c r="X84" i="1"/>
  <c r="X187" i="1"/>
  <c r="X131" i="1"/>
  <c r="X50" i="1"/>
  <c r="X24" i="1"/>
  <c r="X302" i="1"/>
  <c r="X75" i="1"/>
  <c r="X19" i="1"/>
  <c r="X118" i="1"/>
  <c r="X76" i="1"/>
  <c r="X55" i="1"/>
  <c r="X231" i="1"/>
  <c r="X142" i="1"/>
  <c r="X100" i="1"/>
  <c r="X202" i="1"/>
  <c r="X157" i="1"/>
  <c r="X30" i="1"/>
  <c r="X270" i="1"/>
  <c r="X277" i="1"/>
  <c r="X186" i="1"/>
  <c r="X133" i="1"/>
  <c r="X137" i="1"/>
  <c r="X81" i="1"/>
  <c r="X228" i="1"/>
  <c r="X288" i="1"/>
  <c r="X246" i="1"/>
  <c r="X25" i="1"/>
  <c r="X215" i="1"/>
  <c r="X80" i="1"/>
  <c r="X210" i="1"/>
  <c r="X173" i="1"/>
  <c r="X46" i="1"/>
  <c r="X286" i="1"/>
  <c r="X301" i="1"/>
  <c r="X117" i="1"/>
  <c r="X61" i="1"/>
  <c r="X232" i="1"/>
  <c r="X239" i="1"/>
  <c r="X72" i="1"/>
  <c r="X41" i="1"/>
  <c r="X223" i="1"/>
  <c r="X96" i="1"/>
  <c r="X170" i="1"/>
  <c r="X195" i="1"/>
  <c r="X143" i="1"/>
  <c r="X266" i="1"/>
  <c r="X289" i="1"/>
  <c r="X26" i="1"/>
  <c r="X105" i="1"/>
  <c r="X49" i="1"/>
  <c r="X160" i="1"/>
  <c r="X256" i="1"/>
  <c r="X279" i="1"/>
  <c r="X227" i="1"/>
  <c r="X199" i="1"/>
  <c r="X48" i="1"/>
  <c r="X90" i="1"/>
  <c r="X37" i="1"/>
  <c r="X221" i="1"/>
  <c r="X193" i="1"/>
  <c r="X114" i="1"/>
  <c r="X88" i="1"/>
  <c r="X139" i="1"/>
  <c r="X83" i="1"/>
  <c r="X284" i="1"/>
  <c r="X73" i="1"/>
  <c r="X17" i="1"/>
  <c r="X128" i="1"/>
  <c r="X247" i="1"/>
  <c r="X211" i="1"/>
  <c r="X175" i="1"/>
  <c r="X16" i="1"/>
  <c r="X257" i="1"/>
  <c r="X276" i="1"/>
  <c r="X155" i="1"/>
  <c r="X99" i="1"/>
  <c r="X18" i="1"/>
  <c r="X274" i="1"/>
  <c r="X294" i="1"/>
  <c r="X43" i="1"/>
  <c r="X224" i="1"/>
  <c r="X150" i="1"/>
  <c r="X108" i="1"/>
  <c r="X290" i="1"/>
  <c r="X298" i="1"/>
  <c r="X219" i="1"/>
  <c r="X191" i="1"/>
  <c r="X32" i="1"/>
  <c r="X106" i="1"/>
  <c r="X135" i="1"/>
  <c r="X79" i="1"/>
  <c r="X267" i="1"/>
  <c r="X180" i="1"/>
  <c r="X244" i="1"/>
  <c r="X91" i="1"/>
  <c r="X35" i="1"/>
  <c r="X237" i="1"/>
  <c r="X275" i="1"/>
  <c r="X188" i="1"/>
  <c r="X220" i="1"/>
  <c r="X192" i="1"/>
  <c r="X86" i="1"/>
  <c r="X44" i="1"/>
  <c r="X229" i="1"/>
  <c r="X200" i="1"/>
  <c r="X134" i="1"/>
  <c r="X92" i="1"/>
  <c r="X153" i="1"/>
  <c r="X97" i="1"/>
  <c r="X253" i="1"/>
  <c r="X87" i="1"/>
  <c r="X31" i="1"/>
  <c r="X174" i="1"/>
  <c r="X132" i="1"/>
  <c r="X233" i="1"/>
  <c r="X218" i="1"/>
  <c r="X189" i="1"/>
  <c r="X62" i="1"/>
  <c r="X20" i="1"/>
  <c r="X245" i="1"/>
  <c r="X169" i="1"/>
  <c r="X113" i="1"/>
  <c r="X269" i="1"/>
  <c r="X38" i="1"/>
  <c r="X278" i="1"/>
  <c r="X57" i="1"/>
  <c r="X7" i="1"/>
  <c r="X112" i="1"/>
  <c r="X154" i="1"/>
  <c r="X297" i="1"/>
  <c r="X212" i="1"/>
  <c r="X177" i="1"/>
  <c r="X102" i="1"/>
  <c r="X60" i="1"/>
  <c r="X121" i="1"/>
  <c r="X65" i="1"/>
  <c r="X176" i="1"/>
  <c r="X240" i="1"/>
  <c r="X263" i="1"/>
  <c r="X5" i="1"/>
  <c r="X123" i="1"/>
  <c r="X67" i="1"/>
  <c r="X268" i="1"/>
  <c r="X242" i="1"/>
  <c r="X265" i="1"/>
  <c r="X11" i="1"/>
  <c r="X208" i="1"/>
  <c r="X203" i="1"/>
  <c r="X159" i="1"/>
  <c r="X282" i="1"/>
  <c r="X296" i="1"/>
  <c r="X74" i="1"/>
  <c r="X103" i="1"/>
  <c r="X47" i="1"/>
  <c r="X190" i="1"/>
  <c r="X148" i="1"/>
  <c r="X27" i="1"/>
  <c r="X216" i="1"/>
  <c r="X166" i="1"/>
  <c r="X124" i="1"/>
  <c r="X185" i="1"/>
  <c r="X129" i="1"/>
  <c r="X285" i="1"/>
  <c r="X22" i="1"/>
  <c r="X262" i="1"/>
  <c r="X136" i="1"/>
  <c r="X165" i="1"/>
  <c r="X109" i="1"/>
  <c r="X264" i="1"/>
  <c r="X287" i="1"/>
  <c r="X261" i="1"/>
  <c r="X53" i="1"/>
  <c r="X230" i="1"/>
  <c r="X201" i="1"/>
  <c r="X130" i="1"/>
  <c r="X196" i="1"/>
  <c r="X145" i="1"/>
  <c r="X295" i="1"/>
  <c r="X70" i="1"/>
  <c r="X28" i="1"/>
  <c r="X89" i="1"/>
  <c r="X33" i="1"/>
  <c r="X144" i="1"/>
  <c r="X122" i="1"/>
  <c r="X69" i="1"/>
  <c r="X13" i="1"/>
  <c r="X209" i="1"/>
  <c r="X146" i="1"/>
  <c r="X120" i="1"/>
  <c r="X171" i="1"/>
  <c r="X115" i="1"/>
  <c r="X34" i="1"/>
  <c r="X258" i="1"/>
  <c r="X281" i="1"/>
  <c r="X182" i="1"/>
  <c r="X140" i="1"/>
  <c r="X119" i="1"/>
  <c r="X77" i="1"/>
  <c r="X235" i="1"/>
  <c r="X255" i="1"/>
  <c r="X184" i="1"/>
  <c r="X21" i="1"/>
  <c r="X213" i="1"/>
  <c r="X179" i="1"/>
  <c r="X98" i="1"/>
  <c r="X40" i="1"/>
  <c r="X9" i="1"/>
  <c r="X207" i="1"/>
  <c r="X64" i="1"/>
  <c r="X138" i="1"/>
  <c r="X167" i="1"/>
  <c r="X111" i="1"/>
  <c r="X236" i="1"/>
  <c r="X101" i="1"/>
  <c r="X45" i="1"/>
  <c r="X225" i="1"/>
  <c r="X178" i="1"/>
  <c r="X152" i="1"/>
  <c r="X197" i="1"/>
  <c r="X147" i="1"/>
  <c r="X66" i="1"/>
  <c r="X291" i="1"/>
  <c r="X249" i="1"/>
  <c r="X183" i="1"/>
  <c r="X127" i="1"/>
  <c r="X250" i="1"/>
  <c r="X273" i="1"/>
  <c r="X42" i="1"/>
  <c r="X71" i="1"/>
  <c r="X15" i="1"/>
  <c r="X158" i="1"/>
  <c r="X116" i="1"/>
  <c r="X300" i="1"/>
  <c r="X58" i="1"/>
  <c r="X8" i="1"/>
  <c r="X205" i="1"/>
  <c r="X163" i="1"/>
  <c r="X82" i="1"/>
  <c r="X56" i="1"/>
  <c r="X107" i="1"/>
  <c r="X51" i="1"/>
  <c r="X252" i="1"/>
  <c r="X259" i="1"/>
  <c r="X172" i="1"/>
  <c r="X63" i="1"/>
  <c r="X251" i="1"/>
  <c r="X164" i="1"/>
  <c r="X260" i="1"/>
  <c r="X10" i="1"/>
  <c r="X206" i="1"/>
  <c r="X94" i="1"/>
  <c r="X52" i="1"/>
  <c r="X23" i="1"/>
  <c r="X214" i="1"/>
  <c r="X110" i="1"/>
  <c r="X68" i="1"/>
  <c r="X181" i="1"/>
  <c r="X125" i="1"/>
  <c r="X280" i="1"/>
  <c r="X238" i="1"/>
  <c r="X59" i="1"/>
  <c r="X6" i="1"/>
  <c r="X243" i="1"/>
  <c r="X156" i="1"/>
  <c r="X204" i="1"/>
  <c r="X161" i="1"/>
  <c r="X299" i="1"/>
  <c r="X272" i="1"/>
  <c r="X234" i="1"/>
  <c r="X194" i="1"/>
  <c r="X141" i="1"/>
  <c r="X14" i="1"/>
  <c r="X254" i="1"/>
  <c r="X293" i="1"/>
  <c r="X85" i="1"/>
  <c r="X29" i="1"/>
  <c r="X217" i="1"/>
  <c r="X162" i="1"/>
  <c r="X104" i="1"/>
  <c r="X54" i="1"/>
  <c r="X12" i="1"/>
  <c r="X226" i="1"/>
  <c r="X198" i="1"/>
  <c r="X78" i="1"/>
  <c r="X36" i="1"/>
  <c r="X149" i="1"/>
  <c r="X93" i="1"/>
  <c r="X248" i="1"/>
  <c r="X271" i="1"/>
  <c r="X168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W381" i="1"/>
</calcChain>
</file>

<file path=xl/comments1.xml><?xml version="1.0" encoding="utf-8"?>
<comments xmlns="http://schemas.openxmlformats.org/spreadsheetml/2006/main">
  <authors>
    <author>John Walkenbach</author>
  </authors>
  <commentList>
    <comment ref="W4" authorId="0">
      <text>
        <r>
          <rPr>
            <b/>
            <sz val="8"/>
            <color indexed="81"/>
            <rFont val="Tahoma"/>
            <family val="2"/>
          </rPr>
          <t>John Walkenbach:</t>
        </r>
        <r>
          <rPr>
            <sz val="8"/>
            <color indexed="81"/>
            <rFont val="Tahoma"/>
            <family val="2"/>
          </rPr>
          <t xml:space="preserve">
Normalized data, so the chart scaling can remain fixed.</t>
        </r>
      </text>
    </comment>
  </commentList>
</comments>
</file>

<file path=xl/sharedStrings.xml><?xml version="1.0" encoding="utf-8"?>
<sst xmlns="http://schemas.openxmlformats.org/spreadsheetml/2006/main" count="35" uniqueCount="35">
  <si>
    <t>a_inc</t>
  </si>
  <si>
    <t>b_inc</t>
  </si>
  <si>
    <t>t_inc</t>
  </si>
  <si>
    <t>a</t>
  </si>
  <si>
    <t>b</t>
  </si>
  <si>
    <t>t</t>
  </si>
  <si>
    <t>x</t>
  </si>
  <si>
    <t>y</t>
  </si>
  <si>
    <t>x(norm)</t>
  </si>
  <si>
    <t>y(norm)</t>
  </si>
  <si>
    <t>http://spreadsheetpage.com</t>
  </si>
  <si>
    <t>Параметры</t>
  </si>
  <si>
    <t>Анимация</t>
  </si>
  <si>
    <t>Кто создал эту рабочую книгу?</t>
  </si>
  <si>
    <t>Эта рабочая книга разработана Джоном Уокенбахом, компания JWalk &amp; Associates. Посетите веб-сайт Джона</t>
  </si>
  <si>
    <t>Могу ли я подлетиться этой книгой с другими пользователями?</t>
  </si>
  <si>
    <t xml:space="preserve">Да, эту рабочую книгу можно свободно распространять. Но ее нельзя продавать либо </t>
  </si>
  <si>
    <t>распространять по частям без письменного разрешения JWalk &amp; Associates.</t>
  </si>
  <si>
    <t>Что это?</t>
  </si>
  <si>
    <t>окружности, которая перемещается внутри большей окружности. На этом основана игрушка Спирограф от фирмы Hasbro.</t>
  </si>
  <si>
    <t>Эта замысловатая кривая представляет собой график гипоциклоиды, построенный на основе точечной диаграммы в Excel.</t>
  </si>
  <si>
    <t xml:space="preserve"> Гипоциклоида - это специальный вид плоской кривой, которая представляет собой траекторию точки, движущиейся по</t>
  </si>
  <si>
    <t>Как ей управлять?</t>
  </si>
  <si>
    <t>Просто щелкайте на различных элементах управления, которые изменяют разные аспекты появляющегося на экране изображения. Кривая определяется</t>
  </si>
  <si>
    <t xml:space="preserve">тремя параметрами: a, b и t. Можно изменять их значения вручную либо воспользоваться полосами прокрутки. Либо щелкните </t>
  </si>
  <si>
    <t>полосы прокрутки.</t>
  </si>
  <si>
    <t>Добавить в избранное?</t>
  </si>
  <si>
    <t>сохраненного избранного. Параметры хранятся в столбцах  N:P. Если избранное отображается, появляется соответствующий ему номер</t>
  </si>
  <si>
    <t>в левом верхнем углу диаграммы.</t>
  </si>
  <si>
    <t>на кнопке "Произвольно" для генерирования случайных значений параметров. Можно также контролировать сглаживание линии</t>
  </si>
  <si>
    <t>(включать либо отключать), наличие маркеров на линии и цвет (зеленый или многоцветный).</t>
  </si>
  <si>
    <t>Параметры понравившейся гипоциклоиды можно сохраняить, щелкнув на кнопке "Добавить в Избранное".</t>
  </si>
  <si>
    <t>Позднее можно выбрать эти параметры путем щелчка на кнопках "Вперед" и "Назад", выполняющих прокрутку</t>
  </si>
  <si>
    <t>Для включения (отключения) анимации щелкните на кнопке "Анимация". Скорость анимации изменяется с помощью</t>
  </si>
  <si>
    <t>(страница Spreadsheet) по адресу: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</si>
</sst>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&quot;a: &quot;0"/>
    <numFmt numFmtId="166" formatCode="&quot;b: &quot;0"/>
    <numFmt numFmtId="167" formatCode="&quot;t: &quot;0"/>
    <numFmt numFmtId="168" formatCode="&quot;Favorite &quot;General"/>
    <numFmt numFmtId="169" formatCode="&quot;Скорость: &quot;General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i/>
      <sz val="10"/>
      <color indexed="9"/>
      <name val="Arial"/>
      <family val="2"/>
    </font>
    <font>
      <sz val="10"/>
      <color indexed="9"/>
      <name val="Arial"/>
      <family val="2"/>
    </font>
    <font>
      <sz val="9"/>
      <color indexed="13"/>
      <name val="Arial"/>
      <family val="2"/>
    </font>
    <font>
      <b/>
      <sz val="8"/>
      <color indexed="81"/>
      <name val="Tahoma"/>
      <family val="2"/>
    </font>
    <font>
      <u/>
      <sz val="10"/>
      <color indexed="12"/>
      <name val="Arial"/>
      <family val="2"/>
    </font>
    <font>
      <b/>
      <sz val="9"/>
      <color indexed="13"/>
      <name val="Arial"/>
      <family val="2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indexed="81"/>
      <name val="Tahoma"/>
      <family val="2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rgb="FF000000"/>
      <name val="Tahoma"/>
      <family val="2"/>
      <charset val="204"/>
    </font>
    <font>
      <sz val="11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Fill="1"/>
    <xf numFmtId="0" fontId="2" fillId="0" borderId="0" xfId="0" applyFont="1"/>
    <xf numFmtId="0" fontId="9" fillId="0" borderId="0" xfId="2" applyAlignment="1" applyProtection="1"/>
    <xf numFmtId="168" fontId="10" fillId="0" borderId="0" xfId="0" applyNumberFormat="1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5" fillId="0" borderId="0" xfId="0" quotePrefix="1" applyFont="1" applyFill="1" applyAlignment="1">
      <alignment horizontal="left" indent="1"/>
    </xf>
    <xf numFmtId="0" fontId="5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4" fillId="0" borderId="0" xfId="0" applyFont="1" applyFill="1"/>
    <xf numFmtId="2" fontId="13" fillId="0" borderId="0" xfId="0" applyNumberFormat="1" applyFont="1"/>
    <xf numFmtId="0" fontId="0" fillId="0" borderId="0" xfId="0" applyFont="1"/>
    <xf numFmtId="0" fontId="11" fillId="2" borderId="1" xfId="0" applyFont="1" applyFill="1" applyBorder="1" applyAlignment="1">
      <alignment horizontal="center"/>
    </xf>
    <xf numFmtId="2" fontId="13" fillId="0" borderId="1" xfId="0" applyNumberFormat="1" applyFont="1" applyBorder="1"/>
    <xf numFmtId="0" fontId="0" fillId="0" borderId="1" xfId="0" applyFont="1" applyBorder="1"/>
    <xf numFmtId="4" fontId="13" fillId="3" borderId="1" xfId="1" applyNumberFormat="1" applyFont="1" applyFill="1" applyBorder="1"/>
    <xf numFmtId="4" fontId="13" fillId="4" borderId="1" xfId="1" applyNumberFormat="1" applyFont="1" applyFill="1" applyBorder="1"/>
    <xf numFmtId="4" fontId="15" fillId="5" borderId="1" xfId="0" applyNumberFormat="1" applyFont="1" applyFill="1" applyBorder="1"/>
    <xf numFmtId="4" fontId="0" fillId="0" borderId="0" xfId="0" applyNumberFormat="1"/>
    <xf numFmtId="0" fontId="11" fillId="2" borderId="2" xfId="0" applyFont="1" applyFill="1" applyBorder="1" applyAlignment="1">
      <alignment horizontal="center" vertical="center"/>
    </xf>
    <xf numFmtId="165" fontId="16" fillId="0" borderId="2" xfId="3" applyNumberFormat="1" applyFont="1" applyFill="1" applyBorder="1" applyAlignment="1">
      <alignment horizontal="center"/>
    </xf>
    <xf numFmtId="166" fontId="16" fillId="0" borderId="2" xfId="3" applyNumberFormat="1" applyFont="1" applyFill="1" applyBorder="1" applyAlignment="1">
      <alignment horizontal="center"/>
    </xf>
    <xf numFmtId="167" fontId="16" fillId="0" borderId="2" xfId="3" applyNumberFormat="1" applyFont="1" applyFill="1" applyBorder="1" applyAlignment="1">
      <alignment horizontal="center"/>
    </xf>
    <xf numFmtId="169" fontId="12" fillId="0" borderId="0" xfId="0" applyNumberFormat="1" applyFont="1" applyFill="1" applyAlignment="1">
      <alignment horizontal="center"/>
    </xf>
  </cellXfs>
  <cellStyles count="4">
    <cellStyle name="Гиперссылка" xfId="2" builtinId="8"/>
    <cellStyle name="Обычный" xfId="0" builtinId="0" customBuiltin="1"/>
    <cellStyle name="Процентный" xfId="3" builtinId="5"/>
    <cellStyle name="Финансовый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5.3717996947251455E-3"/>
          <c:w val="0.99412778438666372"/>
          <c:h val="0.98698180025684601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chemeClr val="tx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Chart!$W$5:$W$381</c:f>
              <c:numCache>
                <c:formatCode>#,##0.00</c:formatCode>
                <c:ptCount val="377"/>
                <c:pt idx="0">
                  <c:v>-2.145801856298638E-3</c:v>
                </c:pt>
                <c:pt idx="1">
                  <c:v>-8.88254488113502E-3</c:v>
                </c:pt>
                <c:pt idx="2">
                  <c:v>1.1082918752863189E-2</c:v>
                </c:pt>
                <c:pt idx="3">
                  <c:v>-2.1920377469277809E-2</c:v>
                </c:pt>
                <c:pt idx="4">
                  <c:v>2.3943201618604019E-2</c:v>
                </c:pt>
                <c:pt idx="5">
                  <c:v>-3.3820764852103627E-2</c:v>
                </c:pt>
                <c:pt idx="6">
                  <c:v>3.5012147351584193E-2</c:v>
                </c:pt>
                <c:pt idx="7">
                  <c:v>-4.4675250927350356E-2</c:v>
                </c:pt>
                <c:pt idx="8">
                  <c:v>4.4405418827827309E-2</c:v>
                </c:pt>
                <c:pt idx="9">
                  <c:v>-5.2313040504265614E-2</c:v>
                </c:pt>
                <c:pt idx="10">
                  <c:v>5.1750654499229512E-2</c:v>
                </c:pt>
                <c:pt idx="11">
                  <c:v>-5.8168568141167283E-2</c:v>
                </c:pt>
                <c:pt idx="12">
                  <c:v>5.4859553107938136E-2</c:v>
                </c:pt>
                <c:pt idx="13">
                  <c:v>-6.0635870813237409E-2</c:v>
                </c:pt>
                <c:pt idx="14">
                  <c:v>5.6270567517754382E-2</c:v>
                </c:pt>
                <c:pt idx="15">
                  <c:v>-5.8555954375503837E-2</c:v>
                </c:pt>
                <c:pt idx="16">
                  <c:v>5.2806280938548479E-2</c:v>
                </c:pt>
                <c:pt idx="17">
                  <c:v>-5.4739674411672413E-2</c:v>
                </c:pt>
                <c:pt idx="18">
                  <c:v>4.5308557774138822E-2</c:v>
                </c:pt>
                <c:pt idx="19">
                  <c:v>-4.4774814975762196E-2</c:v>
                </c:pt>
                <c:pt idx="20">
                  <c:v>3.5653919737035224E-2</c:v>
                </c:pt>
                <c:pt idx="21">
                  <c:v>-3.1989870980207599E-2</c:v>
                </c:pt>
                <c:pt idx="22">
                  <c:v>1.9220392122856689E-2</c:v>
                </c:pt>
                <c:pt idx="23">
                  <c:v>-1.6156926189783788E-2</c:v>
                </c:pt>
                <c:pt idx="24">
                  <c:v>1.5359494334852061E-3</c:v>
                </c:pt>
                <c:pt idx="25">
                  <c:v>6.0826629493767187E-3</c:v>
                </c:pt>
                <c:pt idx="26">
                  <c:v>-2.0411120912949762E-2</c:v>
                </c:pt>
                <c:pt idx="27">
                  <c:v>2.8114631185632604E-2</c:v>
                </c:pt>
                <c:pt idx="28">
                  <c:v>-4.7232788883503588E-2</c:v>
                </c:pt>
                <c:pt idx="29">
                  <c:v>5.5577127703025586E-2</c:v>
                </c:pt>
                <c:pt idx="30">
                  <c:v>-7.2944381712835987E-2</c:v>
                </c:pt>
                <c:pt idx="31">
                  <c:v>8.5351598663620146E-2</c:v>
                </c:pt>
                <c:pt idx="32">
                  <c:v>-0.10470580324246254</c:v>
                </c:pt>
                <c:pt idx="33">
                  <c:v>0.11394490194717946</c:v>
                </c:pt>
                <c:pt idx="34">
                  <c:v>-0.13560611019968655</c:v>
                </c:pt>
                <c:pt idx="35">
                  <c:v>0.14817421130638345</c:v>
                </c:pt>
                <c:pt idx="36">
                  <c:v>-0.16608266637544405</c:v>
                </c:pt>
                <c:pt idx="37">
                  <c:v>0.17838576849789123</c:v>
                </c:pt>
                <c:pt idx="38">
                  <c:v>-0.20044573603572746</c:v>
                </c:pt>
                <c:pt idx="39">
                  <c:v>0.20944895946390898</c:v>
                </c:pt>
                <c:pt idx="40">
                  <c:v>-0.22832949250991713</c:v>
                </c:pt>
                <c:pt idx="41">
                  <c:v>0.24132353416346108</c:v>
                </c:pt>
                <c:pt idx="42">
                  <c:v>-0.25830489237317944</c:v>
                </c:pt>
                <c:pt idx="43">
                  <c:v>0.26549665215363755</c:v>
                </c:pt>
                <c:pt idx="44">
                  <c:v>-0.28506666983550855</c:v>
                </c:pt>
                <c:pt idx="45">
                  <c:v>0.29231802942566609</c:v>
                </c:pt>
                <c:pt idx="46">
                  <c:v>-0.30438980236242297</c:v>
                </c:pt>
                <c:pt idx="47">
                  <c:v>0.31164415694707803</c:v>
                </c:pt>
                <c:pt idx="48">
                  <c:v>-0.32568616450611437</c:v>
                </c:pt>
                <c:pt idx="49">
                  <c:v>0.32513316725903474</c:v>
                </c:pt>
                <c:pt idx="50">
                  <c:v>-0.335814077340305</c:v>
                </c:pt>
                <c:pt idx="51">
                  <c:v>0.33842746166051701</c:v>
                </c:pt>
                <c:pt idx="52">
                  <c:v>-0.34251875690699585</c:v>
                </c:pt>
                <c:pt idx="53">
                  <c:v>0.33831475581433462</c:v>
                </c:pt>
                <c:pt idx="54">
                  <c:v>-0.34551776859099703</c:v>
                </c:pt>
                <c:pt idx="55">
                  <c:v>0.33722029606373682</c:v>
                </c:pt>
                <c:pt idx="56">
                  <c:v>-0.33487154833355764</c:v>
                </c:pt>
                <c:pt idx="57">
                  <c:v>0.32814633227616069</c:v>
                </c:pt>
                <c:pt idx="58">
                  <c:v>-0.32487562460069275</c:v>
                </c:pt>
                <c:pt idx="59">
                  <c:v>0.3073227815471124</c:v>
                </c:pt>
                <c:pt idx="60">
                  <c:v>-0.30277213554321886</c:v>
                </c:pt>
                <c:pt idx="61">
                  <c:v>0.28732185997970472</c:v>
                </c:pt>
                <c:pt idx="62">
                  <c:v>-0.27258054642005108</c:v>
                </c:pt>
                <c:pt idx="63">
                  <c:v>0.25226321445175548</c:v>
                </c:pt>
                <c:pt idx="64">
                  <c:v>-0.24166779552265058</c:v>
                </c:pt>
                <c:pt idx="65">
                  <c:v>0.213734191492857</c:v>
                </c:pt>
                <c:pt idx="66">
                  <c:v>-0.19481982248202426</c:v>
                </c:pt>
                <c:pt idx="67">
                  <c:v>0.17147619617166565</c:v>
                </c:pt>
                <c:pt idx="68">
                  <c:v>-0.14900740734809861</c:v>
                </c:pt>
                <c:pt idx="69">
                  <c:v>0.11498570688842288</c:v>
                </c:pt>
                <c:pt idx="70">
                  <c:v>-9.5737401588318505E-2</c:v>
                </c:pt>
                <c:pt idx="71">
                  <c:v>6.2864129020551121E-2</c:v>
                </c:pt>
                <c:pt idx="72">
                  <c:v>-3.2468267665466406E-2</c:v>
                </c:pt>
                <c:pt idx="73">
                  <c:v>-8.5604726500505197E-5</c:v>
                </c:pt>
                <c:pt idx="74">
                  <c:v>2.5042630656125619E-2</c:v>
                </c:pt>
                <c:pt idx="75">
                  <c:v>-6.6915125224938449E-2</c:v>
                </c:pt>
                <c:pt idx="76">
                  <c:v>9.5241880192720577E-2</c:v>
                </c:pt>
                <c:pt idx="77">
                  <c:v>-0.12879965317850753</c:v>
                </c:pt>
                <c:pt idx="78">
                  <c:v>0.1624409727750569</c:v>
                </c:pt>
                <c:pt idx="79">
                  <c:v>-0.20280290915272584</c:v>
                </c:pt>
                <c:pt idx="80">
                  <c:v>0.22735576498731264</c:v>
                </c:pt>
                <c:pt idx="81">
                  <c:v>-0.26752414688551956</c:v>
                </c:pt>
                <c:pt idx="82">
                  <c:v>0.30097476215322899</c:v>
                </c:pt>
                <c:pt idx="83">
                  <c:v>-0.33355799284098436</c:v>
                </c:pt>
                <c:pt idx="84">
                  <c:v>0.36089555837072818</c:v>
                </c:pt>
                <c:pt idx="85">
                  <c:v>-0.40228747282298588</c:v>
                </c:pt>
                <c:pt idx="86">
                  <c:v>0.4254059474809776</c:v>
                </c:pt>
                <c:pt idx="87">
                  <c:v>-0.45562346994328612</c:v>
                </c:pt>
                <c:pt idx="88">
                  <c:v>0.48492685528776797</c:v>
                </c:pt>
                <c:pt idx="89">
                  <c:v>-0.51522402435958048</c:v>
                </c:pt>
                <c:pt idx="90">
                  <c:v>0.53028889225209597</c:v>
                </c:pt>
                <c:pt idx="91">
                  <c:v>-0.56188578027900515</c:v>
                </c:pt>
                <c:pt idx="92">
                  <c:v>0.58102960620220312</c:v>
                </c:pt>
                <c:pt idx="93">
                  <c:v>-0.59803592482257129</c:v>
                </c:pt>
                <c:pt idx="94">
                  <c:v>0.61221384159263126</c:v>
                </c:pt>
                <c:pt idx="95">
                  <c:v>-0.63577163300552153</c:v>
                </c:pt>
                <c:pt idx="96">
                  <c:v>0.63780666646628159</c:v>
                </c:pt>
                <c:pt idx="97">
                  <c:v>-0.65006488563556675</c:v>
                </c:pt>
                <c:pt idx="98">
                  <c:v>0.65869974989982405</c:v>
                </c:pt>
                <c:pt idx="99">
                  <c:v>-0.66346881525273982</c:v>
                </c:pt>
                <c:pt idx="100">
                  <c:v>0.65584681688222313</c:v>
                </c:pt>
                <c:pt idx="101">
                  <c:v>-0.66453257735567484</c:v>
                </c:pt>
                <c:pt idx="102">
                  <c:v>0.65512345747043987</c:v>
                </c:pt>
                <c:pt idx="103">
                  <c:v>-0.64519502355262948</c:v>
                </c:pt>
                <c:pt idx="104">
                  <c:v>0.63469377419358408</c:v>
                </c:pt>
                <c:pt idx="105">
                  <c:v>-0.62827497263486565</c:v>
                </c:pt>
                <c:pt idx="106">
                  <c:v>0.60008625736588972</c:v>
                </c:pt>
                <c:pt idx="107">
                  <c:v>-0.58630584669945074</c:v>
                </c:pt>
                <c:pt idx="108">
                  <c:v>0.56512711602141585</c:v>
                </c:pt>
                <c:pt idx="109">
                  <c:v>-0.53781380527818035</c:v>
                </c:pt>
                <c:pt idx="110">
                  <c:v>0.50324012576232158</c:v>
                </c:pt>
                <c:pt idx="111">
                  <c:v>-0.4836731320430841</c:v>
                </c:pt>
                <c:pt idx="112">
                  <c:v>0.44212725121052349</c:v>
                </c:pt>
                <c:pt idx="113">
                  <c:v>-0.40494412331474633</c:v>
                </c:pt>
                <c:pt idx="114">
                  <c:v>0.36884389897285424</c:v>
                </c:pt>
                <c:pt idx="115">
                  <c:v>-0.33223453819082144</c:v>
                </c:pt>
                <c:pt idx="116">
                  <c:v>0.27737005159456801</c:v>
                </c:pt>
                <c:pt idx="117">
                  <c:v>-0.24139728017518244</c:v>
                </c:pt>
                <c:pt idx="118">
                  <c:v>0.19394312998636429</c:v>
                </c:pt>
                <c:pt idx="119">
                  <c:v>-0.14173908569919247</c:v>
                </c:pt>
                <c:pt idx="120">
                  <c:v>8.8840951634274287E-2</c:v>
                </c:pt>
                <c:pt idx="121">
                  <c:v>-4.8615596351607261E-2</c:v>
                </c:pt>
                <c:pt idx="122">
                  <c:v>-1.4536651163039E-2</c:v>
                </c:pt>
                <c:pt idx="123">
                  <c:v>6.5892711244123728E-2</c:v>
                </c:pt>
                <c:pt idx="124">
                  <c:v>-0.11579501977148471</c:v>
                </c:pt>
                <c:pt idx="125">
                  <c:v>0.16905612907323328</c:v>
                </c:pt>
                <c:pt idx="126">
                  <c:v>-0.23369273280714825</c:v>
                </c:pt>
                <c:pt idx="127">
                  <c:v>0.2759508700142474</c:v>
                </c:pt>
                <c:pt idx="128">
                  <c:v>-0.33345991938082209</c:v>
                </c:pt>
                <c:pt idx="129">
                  <c:v>0.39069209185027431</c:v>
                </c:pt>
                <c:pt idx="130">
                  <c:v>-0.44229087647902599</c:v>
                </c:pt>
                <c:pt idx="131">
                  <c:v>0.48460022537751968</c:v>
                </c:pt>
                <c:pt idx="132">
                  <c:v>-0.54752871902359213</c:v>
                </c:pt>
                <c:pt idx="133">
                  <c:v>0.59043684207820935</c:v>
                </c:pt>
                <c:pt idx="134">
                  <c:v>-0.63357887539135471</c:v>
                </c:pt>
                <c:pt idx="135">
                  <c:v>0.68070690851215454</c:v>
                </c:pt>
                <c:pt idx="136">
                  <c:v>-0.73052125073717489</c:v>
                </c:pt>
                <c:pt idx="137">
                  <c:v>0.75697593743419056</c:v>
                </c:pt>
                <c:pt idx="138">
                  <c:v>-0.80174359669395479</c:v>
                </c:pt>
                <c:pt idx="139">
                  <c:v>0.83869085137006372</c:v>
                </c:pt>
                <c:pt idx="140">
                  <c:v>-0.86599250915587422</c:v>
                </c:pt>
                <c:pt idx="141">
                  <c:v>0.88839431026574878</c:v>
                </c:pt>
                <c:pt idx="142">
                  <c:v>-0.92644023982160661</c:v>
                </c:pt>
                <c:pt idx="143">
                  <c:v>0.93780906528718533</c:v>
                </c:pt>
                <c:pt idx="144">
                  <c:v>-0.95367813473274243</c:v>
                </c:pt>
                <c:pt idx="145">
                  <c:v>0.97202415196020575</c:v>
                </c:pt>
                <c:pt idx="146">
                  <c:v>-0.98484969894105123</c:v>
                </c:pt>
                <c:pt idx="147">
                  <c:v>0.97702450137902708</c:v>
                </c:pt>
                <c:pt idx="148">
                  <c:v>-0.98961679904341482</c:v>
                </c:pt>
                <c:pt idx="149">
                  <c:v>0.98621633419204424</c:v>
                </c:pt>
                <c:pt idx="150">
                  <c:v>-0.97327486337618208</c:v>
                </c:pt>
                <c:pt idx="151">
                  <c:v>0.96049784069858668</c:v>
                </c:pt>
                <c:pt idx="152">
                  <c:v>-0.95695125270931169</c:v>
                </c:pt>
                <c:pt idx="153">
                  <c:v>0.92385766614292686</c:v>
                </c:pt>
                <c:pt idx="154">
                  <c:v>-0.90197409482874313</c:v>
                </c:pt>
                <c:pt idx="155">
                  <c:v>0.87937394479362374</c:v>
                </c:pt>
                <c:pt idx="156">
                  <c:v>-0.8458479752447321</c:v>
                </c:pt>
                <c:pt idx="157">
                  <c:v>0.79835779004801899</c:v>
                </c:pt>
                <c:pt idx="158">
                  <c:v>-0.77215209991994738</c:v>
                </c:pt>
                <c:pt idx="159">
                  <c:v>0.72319653612919232</c:v>
                </c:pt>
                <c:pt idx="160">
                  <c:v>-0.66974238573930966</c:v>
                </c:pt>
                <c:pt idx="161">
                  <c:v>0.62137482209492212</c:v>
                </c:pt>
                <c:pt idx="162">
                  <c:v>-0.57580283953655365</c:v>
                </c:pt>
                <c:pt idx="163">
                  <c:v>0.50291182349668184</c:v>
                </c:pt>
                <c:pt idx="164">
                  <c:v>-0.44932662071771684</c:v>
                </c:pt>
                <c:pt idx="165">
                  <c:v>0.39068703828946055</c:v>
                </c:pt>
                <c:pt idx="166">
                  <c:v>-0.32011894467960156</c:v>
                </c:pt>
                <c:pt idx="167">
                  <c:v>0.24527749570942722</c:v>
                </c:pt>
                <c:pt idx="168">
                  <c:v>-0.19092097671805158</c:v>
                </c:pt>
                <c:pt idx="169">
                  <c:v>0.11004490704660828</c:v>
                </c:pt>
                <c:pt idx="170">
                  <c:v>-3.4032890920338794E-2</c:v>
                </c:pt>
                <c:pt idx="171">
                  <c:v>-3.3420312763728775E-2</c:v>
                </c:pt>
                <c:pt idx="172">
                  <c:v>0.10336101014120151</c:v>
                </c:pt>
                <c:pt idx="173">
                  <c:v>-0.19340828520749004</c:v>
                </c:pt>
                <c:pt idx="174">
                  <c:v>0.2565988753187336</c:v>
                </c:pt>
                <c:pt idx="175">
                  <c:v>-0.3298882941478985</c:v>
                </c:pt>
                <c:pt idx="176">
                  <c:v>0.41133085798034197</c:v>
                </c:pt>
                <c:pt idx="177">
                  <c:v>-0.48654109888541874</c:v>
                </c:pt>
                <c:pt idx="178">
                  <c:v>0.54425018558454341</c:v>
                </c:pt>
                <c:pt idx="179">
                  <c:v>-0.62857751083031155</c:v>
                </c:pt>
                <c:pt idx="180">
                  <c:v>0.69641422598137093</c:v>
                </c:pt>
                <c:pt idx="181">
                  <c:v>-0.75518759109219957</c:v>
                </c:pt>
                <c:pt idx="182">
                  <c:v>0.81989325150532155</c:v>
                </c:pt>
                <c:pt idx="183">
                  <c:v>-0.89410218038095868</c:v>
                </c:pt>
                <c:pt idx="184">
                  <c:v>0.93681518632915406</c:v>
                </c:pt>
                <c:pt idx="185">
                  <c:v>-0.99504464569862983</c:v>
                </c:pt>
                <c:pt idx="186">
                  <c:v>1.0538133019589659</c:v>
                </c:pt>
                <c:pt idx="187">
                  <c:v>-1.0979211424210746</c:v>
                </c:pt>
                <c:pt idx="188">
                  <c:v>1.130031683012761</c:v>
                </c:pt>
                <c:pt idx="189">
                  <c:v>-1.1854632720429521</c:v>
                </c:pt>
                <c:pt idx="190">
                  <c:v>1.2134992497604837</c:v>
                </c:pt>
                <c:pt idx="191">
                  <c:v>-1.2361314430347965</c:v>
                </c:pt>
                <c:pt idx="192">
                  <c:v>1.2660839873511327</c:v>
                </c:pt>
                <c:pt idx="193">
                  <c:v>-1.294175616379122</c:v>
                </c:pt>
                <c:pt idx="194">
                  <c:v>1.2911073057188716</c:v>
                </c:pt>
                <c:pt idx="195">
                  <c:v>-1.3089409317515381</c:v>
                </c:pt>
                <c:pt idx="196">
                  <c:v>1.3177667647860523</c:v>
                </c:pt>
                <c:pt idx="197">
                  <c:v>-1.3083153866603046</c:v>
                </c:pt>
                <c:pt idx="198">
                  <c:v>1.2946611800682923</c:v>
                </c:pt>
                <c:pt idx="199">
                  <c:v>-1.298607520445042</c:v>
                </c:pt>
                <c:pt idx="200">
                  <c:v>1.2680125031488492</c:v>
                </c:pt>
                <c:pt idx="201">
                  <c:v>-1.240106023905333</c:v>
                </c:pt>
                <c:pt idx="202">
                  <c:v>1.2188867970981874</c:v>
                </c:pt>
                <c:pt idx="203">
                  <c:v>-1.1865531146216579</c:v>
                </c:pt>
                <c:pt idx="204">
                  <c:v>1.1293296606912091</c:v>
                </c:pt>
                <c:pt idx="205">
                  <c:v>-1.0976571091045901</c:v>
                </c:pt>
                <c:pt idx="206">
                  <c:v>1.0477317694120076</c:v>
                </c:pt>
                <c:pt idx="207">
                  <c:v>-0.98237577455374592</c:v>
                </c:pt>
                <c:pt idx="208">
                  <c:v>0.92180432877274554</c:v>
                </c:pt>
                <c:pt idx="209">
                  <c:v>-0.87191985105887593</c:v>
                </c:pt>
                <c:pt idx="210">
                  <c:v>0.78624572799804682</c:v>
                </c:pt>
                <c:pt idx="211">
                  <c:v>-0.71470253286279162</c:v>
                </c:pt>
                <c:pt idx="212">
                  <c:v>0.64723454823434068</c:v>
                </c:pt>
                <c:pt idx="213">
                  <c:v>-0.5637591897135823</c:v>
                </c:pt>
                <c:pt idx="214">
                  <c:v>0.46689689826638048</c:v>
                </c:pt>
                <c:pt idx="215">
                  <c:v>-0.39839664865597268</c:v>
                </c:pt>
                <c:pt idx="216">
                  <c:v>0.30459485911604911</c:v>
                </c:pt>
                <c:pt idx="217">
                  <c:v>-0.20458053885885652</c:v>
                </c:pt>
                <c:pt idx="218">
                  <c:v>0.11754937453686035</c:v>
                </c:pt>
                <c:pt idx="219">
                  <c:v>-3.4183243518600526E-2</c:v>
                </c:pt>
                <c:pt idx="220">
                  <c:v>-7.977542768679162E-2</c:v>
                </c:pt>
                <c:pt idx="221">
                  <c:v>0.16725083258934925</c:v>
                </c:pt>
                <c:pt idx="222">
                  <c:v>-0.25529924460765208</c:v>
                </c:pt>
                <c:pt idx="223">
                  <c:v>0.35888455235228439</c:v>
                </c:pt>
                <c:pt idx="224">
                  <c:v>-0.46153667585040059</c:v>
                </c:pt>
                <c:pt idx="225">
                  <c:v>0.53617982239203632</c:v>
                </c:pt>
                <c:pt idx="226">
                  <c:v>-0.63987787261958462</c:v>
                </c:pt>
                <c:pt idx="227">
                  <c:v>0.73615765635323915</c:v>
                </c:pt>
                <c:pt idx="228">
                  <c:v>-0.81452276912673605</c:v>
                </c:pt>
                <c:pt idx="229">
                  <c:v>0.89560489740173699</c:v>
                </c:pt>
                <c:pt idx="230">
                  <c:v>-0.99686009205903847</c:v>
                </c:pt>
                <c:pt idx="231">
                  <c:v>1.061654736386356</c:v>
                </c:pt>
                <c:pt idx="232">
                  <c:v>-1.1337342026385206</c:v>
                </c:pt>
                <c:pt idx="233">
                  <c:v>1.2159415898186245</c:v>
                </c:pt>
                <c:pt idx="234">
                  <c:v>-1.2836663592511979</c:v>
                </c:pt>
                <c:pt idx="235">
                  <c:v>1.3279936677509998</c:v>
                </c:pt>
                <c:pt idx="236">
                  <c:v>-1.4016275330556192</c:v>
                </c:pt>
                <c:pt idx="237">
                  <c:v>1.4531361575652642</c:v>
                </c:pt>
                <c:pt idx="238">
                  <c:v>-1.4873006047758992</c:v>
                </c:pt>
                <c:pt idx="239">
                  <c:v>1.529438031459218</c:v>
                </c:pt>
                <c:pt idx="240">
                  <c:v>-1.5787078282636975</c:v>
                </c:pt>
                <c:pt idx="241">
                  <c:v>1.5871119465390189</c:v>
                </c:pt>
                <c:pt idx="242">
                  <c:v>-1.6112542146956055</c:v>
                </c:pt>
                <c:pt idx="243">
                  <c:v>1.6367355858332127</c:v>
                </c:pt>
                <c:pt idx="244">
                  <c:v>-1.6387079520243364</c:v>
                </c:pt>
                <c:pt idx="245">
                  <c:v>1.6264139860929827</c:v>
                </c:pt>
                <c:pt idx="246">
                  <c:v>-1.6406278150088784</c:v>
                </c:pt>
                <c:pt idx="247">
                  <c:v>1.6206845766685816</c:v>
                </c:pt>
                <c:pt idx="248">
                  <c:v>-1.5905933542781638</c:v>
                </c:pt>
                <c:pt idx="249">
                  <c:v>1.5721348126767269</c:v>
                </c:pt>
                <c:pt idx="250">
                  <c:v>-1.5483084094726949</c:v>
                </c:pt>
                <c:pt idx="251">
                  <c:v>1.486824933615764</c:v>
                </c:pt>
                <c:pt idx="252">
                  <c:v>-1.4502678359218957</c:v>
                </c:pt>
                <c:pt idx="253">
                  <c:v>1.4049606187968231</c:v>
                </c:pt>
                <c:pt idx="254">
                  <c:v>-1.3344004358911443</c:v>
                </c:pt>
                <c:pt idx="255">
                  <c:v>1.2621656088062245</c:v>
                </c:pt>
                <c:pt idx="256">
                  <c:v>-1.2112992632926387</c:v>
                </c:pt>
                <c:pt idx="257">
                  <c:v>1.1199713403630704</c:v>
                </c:pt>
                <c:pt idx="258">
                  <c:v>-1.0316634857109823</c:v>
                </c:pt>
                <c:pt idx="259">
                  <c:v>0.95637388229596154</c:v>
                </c:pt>
                <c:pt idx="260">
                  <c:v>-0.86653887313106193</c:v>
                </c:pt>
                <c:pt idx="261">
                  <c:v>0.74993156089472157</c:v>
                </c:pt>
                <c:pt idx="262">
                  <c:v>-0.66636151116468467</c:v>
                </c:pt>
                <c:pt idx="263">
                  <c:v>0.56458817952783413</c:v>
                </c:pt>
                <c:pt idx="264">
                  <c:v>-0.44395790048598133</c:v>
                </c:pt>
                <c:pt idx="265">
                  <c:v>0.33522257415049816</c:v>
                </c:pt>
                <c:pt idx="266">
                  <c:v>-0.24101087993869433</c:v>
                </c:pt>
                <c:pt idx="267">
                  <c:v>0.10723065723061845</c:v>
                </c:pt>
                <c:pt idx="268">
                  <c:v>6.9787131806345448E-3</c:v>
                </c:pt>
                <c:pt idx="269">
                  <c:v>-0.10995037331180559</c:v>
                </c:pt>
                <c:pt idx="270">
                  <c:v>0.23164701293829251</c:v>
                </c:pt>
                <c:pt idx="271">
                  <c:v>-0.36372138293434814</c:v>
                </c:pt>
                <c:pt idx="272">
                  <c:v>0.45807948872099374</c:v>
                </c:pt>
                <c:pt idx="273">
                  <c:v>-0.57811634023121883</c:v>
                </c:pt>
                <c:pt idx="274">
                  <c:v>0.70384972052654127</c:v>
                </c:pt>
                <c:pt idx="275">
                  <c:v>-0.80660926432297841</c:v>
                </c:pt>
                <c:pt idx="276">
                  <c:v>0.90292638386390423</c:v>
                </c:pt>
                <c:pt idx="277">
                  <c:v>-1.031187103990187</c:v>
                </c:pt>
                <c:pt idx="278">
                  <c:v>1.1239655362772618</c:v>
                </c:pt>
                <c:pt idx="279">
                  <c:v>-1.2112584278938408</c:v>
                </c:pt>
                <c:pt idx="280">
                  <c:v>1.3161702793072128</c:v>
                </c:pt>
                <c:pt idx="281">
                  <c:v>-1.4134803883718394</c:v>
                </c:pt>
                <c:pt idx="282">
                  <c:v>1.4740635843038101</c:v>
                </c:pt>
                <c:pt idx="283">
                  <c:v>-1.5651730020798069</c:v>
                </c:pt>
                <c:pt idx="284">
                  <c:v>1.645285483418401</c:v>
                </c:pt>
                <c:pt idx="285">
                  <c:v>-1.6973589930597097</c:v>
                </c:pt>
                <c:pt idx="286">
                  <c:v>1.7518180785323354</c:v>
                </c:pt>
                <c:pt idx="287">
                  <c:v>-1.8259920399086551</c:v>
                </c:pt>
                <c:pt idx="288">
                  <c:v>1.8537911137778718</c:v>
                </c:pt>
                <c:pt idx="289">
                  <c:v>-1.8860184333057097</c:v>
                </c:pt>
                <c:pt idx="290">
                  <c:v>1.9303635167344497</c:v>
                </c:pt>
                <c:pt idx="291">
                  <c:v>-1.9521455216352412</c:v>
                </c:pt>
                <c:pt idx="292">
                  <c:v>1.9451017396125583</c:v>
                </c:pt>
                <c:pt idx="293">
                  <c:v>-1.9706204352252175</c:v>
                </c:pt>
                <c:pt idx="294">
                  <c:v>1.9690395213309615</c:v>
                </c:pt>
                <c:pt idx="295">
                  <c:v>-1.9427850110843943</c:v>
                </c:pt>
                <c:pt idx="296">
                  <c:v>1.9276474591585833</c:v>
                </c:pt>
                <c:pt idx="297">
                  <c:v>-1.9184167888194759</c:v>
                </c:pt>
                <c:pt idx="298">
                  <c:v>1.8603435092308671</c:v>
                </c:pt>
                <c:pt idx="299">
                  <c:v>-1.8198231319850535</c:v>
                </c:pt>
                <c:pt idx="300">
                  <c:v>1.7830480391945203</c:v>
                </c:pt>
                <c:pt idx="301">
                  <c:v>-1.7156969843206828</c:v>
                </c:pt>
                <c:pt idx="302">
                  <c:v>1.6338218726417819</c:v>
                </c:pt>
                <c:pt idx="303">
                  <c:v>-1.583662163122272</c:v>
                </c:pt>
                <c:pt idx="304">
                  <c:v>1.4946922159599361</c:v>
                </c:pt>
                <c:pt idx="305">
                  <c:v>-1.3931684398541568</c:v>
                </c:pt>
                <c:pt idx="306">
                  <c:v>1.3099554820233208</c:v>
                </c:pt>
                <c:pt idx="307">
                  <c:v>-1.2202344995196999</c:v>
                </c:pt>
                <c:pt idx="308">
                  <c:v>1.0889210693960245</c:v>
                </c:pt>
                <c:pt idx="309">
                  <c:v>-0.98917727692350232</c:v>
                </c:pt>
                <c:pt idx="310">
                  <c:v>0.88349042053316906</c:v>
                </c:pt>
                <c:pt idx="311">
                  <c:v>-0.74825135211144189</c:v>
                </c:pt>
                <c:pt idx="312">
                  <c:v>0.6166272351848886</c:v>
                </c:pt>
                <c:pt idx="313">
                  <c:v>-0.51278751420357382</c:v>
                </c:pt>
                <c:pt idx="314">
                  <c:v>0.36525007795615322</c:v>
                </c:pt>
                <c:pt idx="315">
                  <c:v>-0.22384570504618129</c:v>
                </c:pt>
                <c:pt idx="316">
                  <c:v>0.10444459567926677</c:v>
                </c:pt>
                <c:pt idx="317">
                  <c:v>3.0342176030599296E-2</c:v>
                </c:pt>
                <c:pt idx="318">
                  <c:v>-0.19110877431751824</c:v>
                </c:pt>
                <c:pt idx="319">
                  <c:v>0.30879207900181399</c:v>
                </c:pt>
                <c:pt idx="320">
                  <c:v>-0.44222392393983262</c:v>
                </c:pt>
                <c:pt idx="321">
                  <c:v>0.59549211419478087</c:v>
                </c:pt>
                <c:pt idx="322">
                  <c:v>-0.72739517699107292</c:v>
                </c:pt>
                <c:pt idx="323">
                  <c:v>0.83880051885098805</c:v>
                </c:pt>
                <c:pt idx="324">
                  <c:v>-0.99144306738133536</c:v>
                </c:pt>
                <c:pt idx="325">
                  <c:v>1.1170209692753876</c:v>
                </c:pt>
                <c:pt idx="326">
                  <c:v>-1.222402058417035</c:v>
                </c:pt>
                <c:pt idx="327">
                  <c:v>1.347541212450891</c:v>
                </c:pt>
                <c:pt idx="328">
                  <c:v>-1.4784008416536298</c:v>
                </c:pt>
                <c:pt idx="329">
                  <c:v>1.5607985395326549</c:v>
                </c:pt>
                <c:pt idx="330">
                  <c:v>-1.6680587698621128</c:v>
                </c:pt>
                <c:pt idx="331">
                  <c:v>1.779343593505236</c:v>
                </c:pt>
                <c:pt idx="332">
                  <c:v>-1.8567333288951078</c:v>
                </c:pt>
                <c:pt idx="333">
                  <c:v>1.9242415131699568</c:v>
                </c:pt>
                <c:pt idx="334">
                  <c:v>-2.0244458343145135</c:v>
                </c:pt>
                <c:pt idx="335">
                  <c:v>2.0797450242985911</c:v>
                </c:pt>
                <c:pt idx="336">
                  <c:v>-2.123387003015718</c:v>
                </c:pt>
                <c:pt idx="337">
                  <c:v>2.1867271176951237</c:v>
                </c:pt>
                <c:pt idx="338">
                  <c:v>-2.2359131756984381</c:v>
                </c:pt>
                <c:pt idx="339">
                  <c:v>2.2400860171143506</c:v>
                </c:pt>
                <c:pt idx="340">
                  <c:v>-2.27685663445674</c:v>
                </c:pt>
                <c:pt idx="341">
                  <c:v>2.2997247717747635</c:v>
                </c:pt>
                <c:pt idx="342">
                  <c:v>-2.2853849151714161</c:v>
                </c:pt>
                <c:pt idx="343">
                  <c:v>2.2742786237199861</c:v>
                </c:pt>
                <c:pt idx="344">
                  <c:v>-2.2836549259578351</c:v>
                </c:pt>
                <c:pt idx="345">
                  <c:v>2.2381857719823484</c:v>
                </c:pt>
                <c:pt idx="346">
                  <c:v>-2.1959939480525486</c:v>
                </c:pt>
                <c:pt idx="347">
                  <c:v>2.1696595319621292</c:v>
                </c:pt>
                <c:pt idx="348">
                  <c:v>-2.1145667622436797</c:v>
                </c:pt>
                <c:pt idx="349">
                  <c:v>2.0273747438060155</c:v>
                </c:pt>
                <c:pt idx="350">
                  <c:v>-1.9782188921433341</c:v>
                </c:pt>
                <c:pt idx="351">
                  <c:v>1.8992574171726866</c:v>
                </c:pt>
                <c:pt idx="352">
                  <c:v>-1.7908025044421738</c:v>
                </c:pt>
                <c:pt idx="353">
                  <c:v>1.6992115345457521</c:v>
                </c:pt>
                <c:pt idx="354">
                  <c:v>-1.6148836064209562</c:v>
                </c:pt>
                <c:pt idx="355">
                  <c:v>1.4764955600658778</c:v>
                </c:pt>
                <c:pt idx="356">
                  <c:v>-1.3603570107748304</c:v>
                </c:pt>
                <c:pt idx="357">
                  <c:v>1.2531823583889214</c:v>
                </c:pt>
                <c:pt idx="358">
                  <c:v>-1.11126523850763</c:v>
                </c:pt>
                <c:pt idx="359">
                  <c:v>0.95760285074353491</c:v>
                </c:pt>
                <c:pt idx="360">
                  <c:v>-0.8438108829966724</c:v>
                </c:pt>
                <c:pt idx="361">
                  <c:v>0.68948917609603599</c:v>
                </c:pt>
                <c:pt idx="362">
                  <c:v>-0.52326505348597141</c:v>
                </c:pt>
                <c:pt idx="363">
                  <c:v>0.38500381978577425</c:v>
                </c:pt>
                <c:pt idx="364">
                  <c:v>-0.24195755294867183</c:v>
                </c:pt>
                <c:pt idx="365">
                  <c:v>5.6326791569328127E-2</c:v>
                </c:pt>
                <c:pt idx="366">
                  <c:v>8.820908923791447E-2</c:v>
                </c:pt>
                <c:pt idx="367">
                  <c:v>-0.23318663187053829</c:v>
                </c:pt>
                <c:pt idx="368">
                  <c:v>0.40931289908827745</c:v>
                </c:pt>
                <c:pt idx="369">
                  <c:v>-0.5738681526168834</c:v>
                </c:pt>
                <c:pt idx="370">
                  <c:v>0.7017901835714756</c:v>
                </c:pt>
                <c:pt idx="371">
                  <c:v>-0.87429525938146491</c:v>
                </c:pt>
                <c:pt idx="372">
                  <c:v>1.0352250429958409</c:v>
                </c:pt>
                <c:pt idx="373">
                  <c:v>-1.1630820588096333</c:v>
                </c:pt>
                <c:pt idx="374">
                  <c:v>1.3052570661595022</c:v>
                </c:pt>
                <c:pt idx="375">
                  <c:v>-1.4707390783103371</c:v>
                </c:pt>
                <c:pt idx="376">
                  <c:v>1.5814364242975398</c:v>
                </c:pt>
              </c:numCache>
            </c:numRef>
          </c:xVal>
          <c:yVal>
            <c:numRef>
              <c:f>Chart!$X$5:$X$381</c:f>
              <c:numCache>
                <c:formatCode>#,##0.00</c:formatCode>
                <c:ptCount val="377"/>
                <c:pt idx="0">
                  <c:v>-2.3735143517097704E-3</c:v>
                </c:pt>
                <c:pt idx="1">
                  <c:v>-1.9221398059711939E-3</c:v>
                </c:pt>
                <c:pt idx="2">
                  <c:v>-4.045910133253873E-3</c:v>
                </c:pt>
                <c:pt idx="3">
                  <c:v>1.192628925675896E-3</c:v>
                </c:pt>
                <c:pt idx="4">
                  <c:v>-8.9301743442824905E-3</c:v>
                </c:pt>
                <c:pt idx="5">
                  <c:v>7.823877413015495E-3</c:v>
                </c:pt>
                <c:pt idx="6">
                  <c:v>-1.6526568423977924E-2</c:v>
                </c:pt>
                <c:pt idx="7">
                  <c:v>1.6964527151149916E-2</c:v>
                </c:pt>
                <c:pt idx="8">
                  <c:v>-2.7663554013095105E-2</c:v>
                </c:pt>
                <c:pt idx="9">
                  <c:v>2.8659631072590345E-2</c:v>
                </c:pt>
                <c:pt idx="10">
                  <c:v>-4.0208246570234557E-2</c:v>
                </c:pt>
                <c:pt idx="11">
                  <c:v>4.3361430053625624E-2</c:v>
                </c:pt>
                <c:pt idx="12">
                  <c:v>-5.5336532104563768E-2</c:v>
                </c:pt>
                <c:pt idx="13">
                  <c:v>5.8302948835016737E-2</c:v>
                </c:pt>
                <c:pt idx="14">
                  <c:v>-7.2255058402708211E-2</c:v>
                </c:pt>
                <c:pt idx="15">
                  <c:v>7.5862099239083977E-2</c:v>
                </c:pt>
                <c:pt idx="16">
                  <c:v>-8.8519127620528285E-2</c:v>
                </c:pt>
                <c:pt idx="17">
                  <c:v>9.3391983056242869E-2</c:v>
                </c:pt>
                <c:pt idx="18">
                  <c:v>-0.10714759868415794</c:v>
                </c:pt>
                <c:pt idx="19">
                  <c:v>0.10987480244434571</c:v>
                </c:pt>
                <c:pt idx="20">
                  <c:v>-0.1236147150096391</c:v>
                </c:pt>
                <c:pt idx="21">
                  <c:v>0.12789081444589406</c:v>
                </c:pt>
                <c:pt idx="22">
                  <c:v>-0.13917282096937239</c:v>
                </c:pt>
                <c:pt idx="23">
                  <c:v>0.14173805121581998</c:v>
                </c:pt>
                <c:pt idx="24">
                  <c:v>-0.15468944432709597</c:v>
                </c:pt>
                <c:pt idx="25">
                  <c:v>0.1551524067513424</c:v>
                </c:pt>
                <c:pt idx="26">
                  <c:v>-0.16461919128713665</c:v>
                </c:pt>
                <c:pt idx="27">
                  <c:v>0.16626188679452317</c:v>
                </c:pt>
                <c:pt idx="28">
                  <c:v>-0.17456768901047584</c:v>
                </c:pt>
                <c:pt idx="29">
                  <c:v>0.17130739713382867</c:v>
                </c:pt>
                <c:pt idx="30">
                  <c:v>-0.17956638085386153</c:v>
                </c:pt>
                <c:pt idx="31">
                  <c:v>0.17638103323235474</c:v>
                </c:pt>
                <c:pt idx="32">
                  <c:v>-0.17908518667843704</c:v>
                </c:pt>
                <c:pt idx="33">
                  <c:v>0.17399087214292036</c:v>
                </c:pt>
                <c:pt idx="34">
                  <c:v>-0.17787208244432887</c:v>
                </c:pt>
                <c:pt idx="35">
                  <c:v>0.16759681944665178</c:v>
                </c:pt>
                <c:pt idx="36">
                  <c:v>-0.16741042406267673</c:v>
                </c:pt>
                <c:pt idx="37">
                  <c:v>0.15883772002396451</c:v>
                </c:pt>
                <c:pt idx="38">
                  <c:v>-0.15487971866246245</c:v>
                </c:pt>
                <c:pt idx="39">
                  <c:v>0.14029658947726018</c:v>
                </c:pt>
                <c:pt idx="40">
                  <c:v>-0.13767426166699198</c:v>
                </c:pt>
                <c:pt idx="41">
                  <c:v>0.12149166582843925</c:v>
                </c:pt>
                <c:pt idx="42">
                  <c:v>-0.11169071871087873</c:v>
                </c:pt>
                <c:pt idx="43">
                  <c:v>9.5513716888038072E-2</c:v>
                </c:pt>
                <c:pt idx="44">
                  <c:v>-8.6540717843974962E-2</c:v>
                </c:pt>
                <c:pt idx="45">
                  <c:v>6.3239935512524895E-2</c:v>
                </c:pt>
                <c:pt idx="46">
                  <c:v>-5.2209999434684295E-2</c:v>
                </c:pt>
                <c:pt idx="47">
                  <c:v>3.1798869487491957E-2</c:v>
                </c:pt>
                <c:pt idx="48">
                  <c:v>-1.511747610333364E-2</c:v>
                </c:pt>
                <c:pt idx="49">
                  <c:v>-9.6409275139792659E-3</c:v>
                </c:pt>
                <c:pt idx="50">
                  <c:v>2.2304716714524764E-2</c:v>
                </c:pt>
                <c:pt idx="51">
                  <c:v>-4.9971253797951559E-2</c:v>
                </c:pt>
                <c:pt idx="52">
                  <c:v>6.8833822579819057E-2</c:v>
                </c:pt>
                <c:pt idx="53">
                  <c:v>-9.2636435951240284E-2</c:v>
                </c:pt>
                <c:pt idx="54">
                  <c:v>0.11088018810285287</c:v>
                </c:pt>
                <c:pt idx="55">
                  <c:v>-0.14163742913665767</c:v>
                </c:pt>
                <c:pt idx="56">
                  <c:v>0.15746019794629754</c:v>
                </c:pt>
                <c:pt idx="57">
                  <c:v>-0.18402121431243335</c:v>
                </c:pt>
                <c:pt idx="58">
                  <c:v>0.20599991601393053</c:v>
                </c:pt>
                <c:pt idx="59">
                  <c:v>-0.23250483995294158</c:v>
                </c:pt>
                <c:pt idx="60">
                  <c:v>0.24746650825674515</c:v>
                </c:pt>
                <c:pt idx="61">
                  <c:v>-0.27766592091369374</c:v>
                </c:pt>
                <c:pt idx="62">
                  <c:v>0.2951839346613131</c:v>
                </c:pt>
                <c:pt idx="63">
                  <c:v>-0.31697555539640931</c:v>
                </c:pt>
                <c:pt idx="64">
                  <c:v>0.33437774374508916</c:v>
                </c:pt>
                <c:pt idx="65">
                  <c:v>-0.3607642687019324</c:v>
                </c:pt>
                <c:pt idx="66">
                  <c:v>0.37014898749047193</c:v>
                </c:pt>
                <c:pt idx="67">
                  <c:v>-0.39195963422792829</c:v>
                </c:pt>
                <c:pt idx="68">
                  <c:v>0.40665105094604748</c:v>
                </c:pt>
                <c:pt idx="69">
                  <c:v>-0.42252728107578036</c:v>
                </c:pt>
                <c:pt idx="70">
                  <c:v>0.4284732092855203</c:v>
                </c:pt>
                <c:pt idx="71">
                  <c:v>-0.44857305247355445</c:v>
                </c:pt>
                <c:pt idx="72">
                  <c:v>0.45182486478205142</c:v>
                </c:pt>
                <c:pt idx="73">
                  <c:v>-0.46026002897769619</c:v>
                </c:pt>
                <c:pt idx="74">
                  <c:v>0.46483198860520392</c:v>
                </c:pt>
                <c:pt idx="75">
                  <c:v>-0.47409969677639624</c:v>
                </c:pt>
                <c:pt idx="76">
                  <c:v>0.46607312641913984</c:v>
                </c:pt>
                <c:pt idx="77">
                  <c:v>-0.47240622303097546</c:v>
                </c:pt>
                <c:pt idx="78">
                  <c:v>0.46802874648523041</c:v>
                </c:pt>
                <c:pt idx="79">
                  <c:v>-0.46311981885565356</c:v>
                </c:pt>
                <c:pt idx="80">
                  <c:v>0.45108924459968353</c:v>
                </c:pt>
                <c:pt idx="81">
                  <c:v>-0.45107244619220654</c:v>
                </c:pt>
                <c:pt idx="82">
                  <c:v>0.43121425083266257</c:v>
                </c:pt>
                <c:pt idx="83">
                  <c:v>-0.41947461258054969</c:v>
                </c:pt>
                <c:pt idx="84">
                  <c:v>0.40368951853414647</c:v>
                </c:pt>
                <c:pt idx="85">
                  <c:v>-0.38884947376949075</c:v>
                </c:pt>
                <c:pt idx="86">
                  <c:v>0.35898960693498827</c:v>
                </c:pt>
                <c:pt idx="87">
                  <c:v>-0.34538731455250882</c:v>
                </c:pt>
                <c:pt idx="88">
                  <c:v>0.31736892608881329</c:v>
                </c:pt>
                <c:pt idx="89">
                  <c:v>-0.28980575497175382</c:v>
                </c:pt>
                <c:pt idx="90">
                  <c:v>0.25878271104977413</c:v>
                </c:pt>
                <c:pt idx="91">
                  <c:v>-0.2370275175257146</c:v>
                </c:pt>
                <c:pt idx="92">
                  <c:v>0.19483542540009238</c:v>
                </c:pt>
                <c:pt idx="93">
                  <c:v>-0.16548146937368979</c:v>
                </c:pt>
                <c:pt idx="94">
                  <c:v>0.13110728415271472</c:v>
                </c:pt>
                <c:pt idx="95">
                  <c:v>-9.56383188078411E-2</c:v>
                </c:pt>
                <c:pt idx="96">
                  <c:v>4.9978110707622293E-2</c:v>
                </c:pt>
                <c:pt idx="97">
                  <c:v>-2.1872496715088969E-2</c:v>
                </c:pt>
                <c:pt idx="98">
                  <c:v>-2.3567369679176126E-2</c:v>
                </c:pt>
                <c:pt idx="99">
                  <c:v>6.4590716667525069E-2</c:v>
                </c:pt>
                <c:pt idx="100">
                  <c:v>-0.10546388490097426</c:v>
                </c:pt>
                <c:pt idx="101">
                  <c:v>0.13998575997745896</c:v>
                </c:pt>
                <c:pt idx="102">
                  <c:v>-0.19262010057856224</c:v>
                </c:pt>
                <c:pt idx="103">
                  <c:v>0.2269587280706799</c:v>
                </c:pt>
                <c:pt idx="104">
                  <c:v>-0.26824197839141606</c:v>
                </c:pt>
                <c:pt idx="105">
                  <c:v>0.31029973948417117</c:v>
                </c:pt>
                <c:pt idx="106">
                  <c:v>-0.35614314424221671</c:v>
                </c:pt>
                <c:pt idx="107">
                  <c:v>0.38451007951070637</c:v>
                </c:pt>
                <c:pt idx="108">
                  <c:v>-0.4317544904629434</c:v>
                </c:pt>
                <c:pt idx="109">
                  <c:v>0.46837945255900199</c:v>
                </c:pt>
                <c:pt idx="110">
                  <c:v>-0.50259993396202474</c:v>
                </c:pt>
                <c:pt idx="111">
                  <c:v>0.53324336151666119</c:v>
                </c:pt>
                <c:pt idx="112">
                  <c:v>-0.57714633307872754</c:v>
                </c:pt>
                <c:pt idx="113">
                  <c:v>0.59820514925289769</c:v>
                </c:pt>
                <c:pt idx="114">
                  <c:v>-0.62923061794497093</c:v>
                </c:pt>
                <c:pt idx="115">
                  <c:v>0.6584040674997792</c:v>
                </c:pt>
                <c:pt idx="116">
                  <c:v>-0.68512054226469354</c:v>
                </c:pt>
                <c:pt idx="117">
                  <c:v>0.69653407598776096</c:v>
                </c:pt>
                <c:pt idx="118">
                  <c:v>-0.7268151286469573</c:v>
                </c:pt>
                <c:pt idx="119">
                  <c:v>0.73960252792261905</c:v>
                </c:pt>
                <c:pt idx="120">
                  <c:v>-0.75038113582970678</c:v>
                </c:pt>
                <c:pt idx="121">
                  <c:v>0.75998643343622452</c:v>
                </c:pt>
                <c:pt idx="122">
                  <c:v>-0.77665149299943637</c:v>
                </c:pt>
                <c:pt idx="123">
                  <c:v>0.76858214172298434</c:v>
                </c:pt>
                <c:pt idx="124">
                  <c:v>-0.77453452978825299</c:v>
                </c:pt>
                <c:pt idx="125">
                  <c:v>0.77436672595435174</c:v>
                </c:pt>
                <c:pt idx="126">
                  <c:v>-0.76764195620914766</c:v>
                </c:pt>
                <c:pt idx="127">
                  <c:v>0.75017147335975742</c:v>
                </c:pt>
                <c:pt idx="128">
                  <c:v>-0.75014302948805978</c:v>
                </c:pt>
                <c:pt idx="129">
                  <c:v>0.72699742374952703</c:v>
                </c:pt>
                <c:pt idx="130">
                  <c:v>-0.7056418898722846</c:v>
                </c:pt>
                <c:pt idx="131">
                  <c:v>0.68486584021521835</c:v>
                </c:pt>
                <c:pt idx="132">
                  <c:v>-0.66517278654763534</c:v>
                </c:pt>
                <c:pt idx="133">
                  <c:v>0.62272875390028304</c:v>
                </c:pt>
                <c:pt idx="134">
                  <c:v>-0.59889594283467174</c:v>
                </c:pt>
                <c:pt idx="135">
                  <c:v>0.56401249392268593</c:v>
                </c:pt>
                <c:pt idx="136">
                  <c:v>-0.52216374521931042</c:v>
                </c:pt>
                <c:pt idx="137">
                  <c:v>0.47603390430163739</c:v>
                </c:pt>
                <c:pt idx="138">
                  <c:v>-0.44476364385795619</c:v>
                </c:pt>
                <c:pt idx="139">
                  <c:v>0.38764932901951654</c:v>
                </c:pt>
                <c:pt idx="140">
                  <c:v>-0.33929265406074371</c:v>
                </c:pt>
                <c:pt idx="141">
                  <c:v>0.29216221267514464</c:v>
                </c:pt>
                <c:pt idx="142">
                  <c:v>-0.24180502851910454</c:v>
                </c:pt>
                <c:pt idx="143">
                  <c:v>0.17470119419324903</c:v>
                </c:pt>
                <c:pt idx="144">
                  <c:v>-0.13030734297037327</c:v>
                </c:pt>
                <c:pt idx="145">
                  <c:v>7.0214890146761078E-2</c:v>
                </c:pt>
                <c:pt idx="146">
                  <c:v>-6.9886033746241237E-3</c:v>
                </c:pt>
                <c:pt idx="147">
                  <c:v>-5.3494248560803377E-2</c:v>
                </c:pt>
                <c:pt idx="148">
                  <c:v>0.10264001433470256</c:v>
                </c:pt>
                <c:pt idx="149">
                  <c:v>-0.17662488394320944</c:v>
                </c:pt>
                <c:pt idx="150">
                  <c:v>0.23309118935956197</c:v>
                </c:pt>
                <c:pt idx="151">
                  <c:v>-0.28940591698246348</c:v>
                </c:pt>
                <c:pt idx="152">
                  <c:v>0.35069440895296883</c:v>
                </c:pt>
                <c:pt idx="153">
                  <c:v>-0.41983531596302309</c:v>
                </c:pt>
                <c:pt idx="154">
                  <c:v>0.46405672195379244</c:v>
                </c:pt>
                <c:pt idx="155">
                  <c:v>-0.52767564521544941</c:v>
                </c:pt>
                <c:pt idx="156">
                  <c:v>0.58705880339601679</c:v>
                </c:pt>
                <c:pt idx="157">
                  <c:v>-0.63809728662231102</c:v>
                </c:pt>
                <c:pt idx="158">
                  <c:v>0.68210771463039876</c:v>
                </c:pt>
                <c:pt idx="159">
                  <c:v>-0.74644007732403428</c:v>
                </c:pt>
                <c:pt idx="160">
                  <c:v>0.78495811990536013</c:v>
                </c:pt>
                <c:pt idx="161">
                  <c:v>-0.82668684193920805</c:v>
                </c:pt>
                <c:pt idx="162">
                  <c:v>0.87240420303830757</c:v>
                </c:pt>
                <c:pt idx="163">
                  <c:v>-0.91636847558149137</c:v>
                </c:pt>
                <c:pt idx="164">
                  <c:v>0.936450657874349</c:v>
                </c:pt>
                <c:pt idx="165">
                  <c:v>-0.97833798132329663</c:v>
                </c:pt>
                <c:pt idx="166">
                  <c:v>1.0068564838380456</c:v>
                </c:pt>
                <c:pt idx="167">
                  <c:v>-1.0249096863135752</c:v>
                </c:pt>
                <c:pt idx="168">
                  <c:v>1.0408006522668682</c:v>
                </c:pt>
                <c:pt idx="169">
                  <c:v>-1.0701331989619258</c:v>
                </c:pt>
                <c:pt idx="170">
                  <c:v>1.0683305332044679</c:v>
                </c:pt>
                <c:pt idx="171">
                  <c:v>-1.075551677401227</c:v>
                </c:pt>
                <c:pt idx="172">
                  <c:v>1.0834966820904206</c:v>
                </c:pt>
                <c:pt idx="173">
                  <c:v>-1.0819761448009371</c:v>
                </c:pt>
                <c:pt idx="174">
                  <c:v>1.0616137085389672</c:v>
                </c:pt>
                <c:pt idx="175">
                  <c:v>-1.0640219257918895</c:v>
                </c:pt>
                <c:pt idx="176">
                  <c:v>1.0444681570257546</c:v>
                </c:pt>
                <c:pt idx="177">
                  <c:v>-1.0172161949483081</c:v>
                </c:pt>
                <c:pt idx="178">
                  <c:v>0.99270195480622447</c:v>
                </c:pt>
                <c:pt idx="179">
                  <c:v>-0.97403886742567858</c:v>
                </c:pt>
                <c:pt idx="180">
                  <c:v>0.92384250321823103</c:v>
                </c:pt>
                <c:pt idx="181">
                  <c:v>-0.89034932169285463</c:v>
                </c:pt>
                <c:pt idx="182">
                  <c:v>0.85281177356436222</c:v>
                </c:pt>
                <c:pt idx="183">
                  <c:v>-0.80221036011431213</c:v>
                </c:pt>
                <c:pt idx="184">
                  <c:v>0.74147127415764347</c:v>
                </c:pt>
                <c:pt idx="185">
                  <c:v>-0.70287154733355062</c:v>
                </c:pt>
                <c:pt idx="186">
                  <c:v>0.63637647811080855</c:v>
                </c:pt>
                <c:pt idx="187">
                  <c:v>-0.56996932502178543</c:v>
                </c:pt>
                <c:pt idx="188">
                  <c:v>0.51027834004075967</c:v>
                </c:pt>
                <c:pt idx="189">
                  <c:v>-0.44975517481200872</c:v>
                </c:pt>
                <c:pt idx="190">
                  <c:v>0.36290199958418623</c:v>
                </c:pt>
                <c:pt idx="191">
                  <c:v>-0.30082361287439452</c:v>
                </c:pt>
                <c:pt idx="192">
                  <c:v>0.22920460692240788</c:v>
                </c:pt>
                <c:pt idx="193">
                  <c:v>-0.14616516706878416</c:v>
                </c:pt>
                <c:pt idx="194">
                  <c:v>6.3731764812075944E-2</c:v>
                </c:pt>
                <c:pt idx="195">
                  <c:v>-9.4639983217689218E-4</c:v>
                </c:pt>
                <c:pt idx="196">
                  <c:v>-9.1689919234309233E-2</c:v>
                </c:pt>
                <c:pt idx="197">
                  <c:v>0.17284359501214133</c:v>
                </c:pt>
                <c:pt idx="198">
                  <c:v>-0.24553103383985567</c:v>
                </c:pt>
                <c:pt idx="199">
                  <c:v>0.32368240306626422</c:v>
                </c:pt>
                <c:pt idx="200">
                  <c:v>-0.41828222042577912</c:v>
                </c:pt>
                <c:pt idx="201">
                  <c:v>0.48179979904357995</c:v>
                </c:pt>
                <c:pt idx="202">
                  <c:v>-0.56049507519723141</c:v>
                </c:pt>
                <c:pt idx="203">
                  <c:v>0.64404673805602952</c:v>
                </c:pt>
                <c:pt idx="204">
                  <c:v>-0.71686026173808226</c:v>
                </c:pt>
                <c:pt idx="205">
                  <c:v>0.77465664009999058</c:v>
                </c:pt>
                <c:pt idx="206">
                  <c:v>-0.8600740867274258</c:v>
                </c:pt>
                <c:pt idx="207">
                  <c:v>0.92171210065212839</c:v>
                </c:pt>
                <c:pt idx="208">
                  <c:v>-0.97666204257518718</c:v>
                </c:pt>
                <c:pt idx="209">
                  <c:v>1.0391626300371668</c:v>
                </c:pt>
                <c:pt idx="210">
                  <c:v>-1.1058871995705564</c:v>
                </c:pt>
                <c:pt idx="211">
                  <c:v>1.1392557927215696</c:v>
                </c:pt>
                <c:pt idx="212">
                  <c:v>-1.1931534919618911</c:v>
                </c:pt>
                <c:pt idx="213">
                  <c:v>1.2420683217100326</c:v>
                </c:pt>
                <c:pt idx="214">
                  <c:v>-1.2737067868145033</c:v>
                </c:pt>
                <c:pt idx="215">
                  <c:v>1.2971106590727206</c:v>
                </c:pt>
                <c:pt idx="216">
                  <c:v>-1.3425352175754155</c:v>
                </c:pt>
                <c:pt idx="217">
                  <c:v>1.3542592520591163</c:v>
                </c:pt>
                <c:pt idx="218">
                  <c:v>-1.3653439100599816</c:v>
                </c:pt>
                <c:pt idx="219">
                  <c:v>1.3835720044810993</c:v>
                </c:pt>
                <c:pt idx="220">
                  <c:v>-1.3945376649916617</c:v>
                </c:pt>
                <c:pt idx="221">
                  <c:v>1.3755080064494083</c:v>
                </c:pt>
                <c:pt idx="222">
                  <c:v>-1.3816126048215531</c:v>
                </c:pt>
                <c:pt idx="223">
                  <c:v>1.3720417751284133</c:v>
                </c:pt>
                <c:pt idx="224">
                  <c:v>-1.3446271886268166</c:v>
                </c:pt>
                <c:pt idx="225">
                  <c:v>1.3173108627456207</c:v>
                </c:pt>
                <c:pt idx="226">
                  <c:v>-1.3044757706658785</c:v>
                </c:pt>
                <c:pt idx="227">
                  <c:v>1.2532581554232978</c:v>
                </c:pt>
                <c:pt idx="228">
                  <c:v>-1.2113706132756754</c:v>
                </c:pt>
                <c:pt idx="229">
                  <c:v>1.1740380446214618</c:v>
                </c:pt>
                <c:pt idx="230">
                  <c:v>-1.1216001697053386</c:v>
                </c:pt>
                <c:pt idx="231">
                  <c:v>1.0483730496743573</c:v>
                </c:pt>
                <c:pt idx="232">
                  <c:v>-1.003433998054726</c:v>
                </c:pt>
                <c:pt idx="233">
                  <c:v>0.93371531782200934</c:v>
                </c:pt>
                <c:pt idx="234">
                  <c:v>-0.8524679041593396</c:v>
                </c:pt>
                <c:pt idx="235">
                  <c:v>0.77978207054157012</c:v>
                </c:pt>
                <c:pt idx="236">
                  <c:v>-0.71362090032573999</c:v>
                </c:pt>
                <c:pt idx="237">
                  <c:v>0.61117046892924232</c:v>
                </c:pt>
                <c:pt idx="238">
                  <c:v>-0.53023555327588567</c:v>
                </c:pt>
                <c:pt idx="239">
                  <c:v>0.44938662769115667</c:v>
                </c:pt>
                <c:pt idx="240">
                  <c:v>-0.35110849615417605</c:v>
                </c:pt>
                <c:pt idx="241">
                  <c:v>0.24555373642261452</c:v>
                </c:pt>
                <c:pt idx="242">
                  <c:v>-0.16899374417574323</c:v>
                </c:pt>
                <c:pt idx="243">
                  <c:v>6.1917511293492176E-2</c:v>
                </c:pt>
                <c:pt idx="244">
                  <c:v>4.4502694501627055E-2</c:v>
                </c:pt>
                <c:pt idx="245">
                  <c:v>-0.13588745922374842</c:v>
                </c:pt>
                <c:pt idx="246">
                  <c:v>0.22792445053252811</c:v>
                </c:pt>
                <c:pt idx="247">
                  <c:v>-0.34768901081346698</c:v>
                </c:pt>
                <c:pt idx="248">
                  <c:v>0.43439607762929328</c:v>
                </c:pt>
                <c:pt idx="249">
                  <c:v>-0.52717265016493009</c:v>
                </c:pt>
                <c:pt idx="250">
                  <c:v>0.63383170621689666</c:v>
                </c:pt>
                <c:pt idx="251">
                  <c:v>-0.73303538713517902</c:v>
                </c:pt>
                <c:pt idx="252">
                  <c:v>0.806041763999782</c:v>
                </c:pt>
                <c:pt idx="253">
                  <c:v>-0.91118790709804054</c:v>
                </c:pt>
                <c:pt idx="254">
                  <c:v>1.0004147887734642</c:v>
                </c:pt>
                <c:pt idx="255">
                  <c:v>-1.0724363596101896</c:v>
                </c:pt>
                <c:pt idx="256">
                  <c:v>1.1507850727554469</c:v>
                </c:pt>
                <c:pt idx="257">
                  <c:v>-1.2439101273560791</c:v>
                </c:pt>
                <c:pt idx="258">
                  <c:v>1.2964004377068157</c:v>
                </c:pt>
                <c:pt idx="259">
                  <c:v>-1.3625672120180994</c:v>
                </c:pt>
                <c:pt idx="260">
                  <c:v>1.4343501510176599</c:v>
                </c:pt>
                <c:pt idx="261">
                  <c:v>-1.4865908022550769</c:v>
                </c:pt>
                <c:pt idx="262">
                  <c:v>1.5195777529151135</c:v>
                </c:pt>
                <c:pt idx="263">
                  <c:v>-1.5824693844791364</c:v>
                </c:pt>
                <c:pt idx="264">
                  <c:v>1.6149267219033387</c:v>
                </c:pt>
                <c:pt idx="265">
                  <c:v>-1.6340396516746745</c:v>
                </c:pt>
                <c:pt idx="266">
                  <c:v>1.6632747038528701</c:v>
                </c:pt>
                <c:pt idx="267">
                  <c:v>-1.6931604036995174</c:v>
                </c:pt>
                <c:pt idx="268">
                  <c:v>1.6815687700342461</c:v>
                </c:pt>
                <c:pt idx="269">
                  <c:v>-1.6921270309870475</c:v>
                </c:pt>
                <c:pt idx="270">
                  <c:v>1.6974776161588436</c:v>
                </c:pt>
                <c:pt idx="271">
                  <c:v>-1.6773567717135187</c:v>
                </c:pt>
                <c:pt idx="272">
                  <c:v>1.6487541091762967</c:v>
                </c:pt>
                <c:pt idx="273">
                  <c:v>-1.6448584797675572</c:v>
                </c:pt>
                <c:pt idx="274">
                  <c:v>1.6005109118676362</c:v>
                </c:pt>
                <c:pt idx="275">
                  <c:v>-1.5530559799040651</c:v>
                </c:pt>
                <c:pt idx="276">
                  <c:v>1.5173268735506591</c:v>
                </c:pt>
                <c:pt idx="277">
                  <c:v>-1.4703262591277062</c:v>
                </c:pt>
                <c:pt idx="278">
                  <c:v>1.3889568190283859</c:v>
                </c:pt>
                <c:pt idx="279">
                  <c:v>-1.3378682738050336</c:v>
                </c:pt>
                <c:pt idx="280">
                  <c:v>1.2706206790507235</c:v>
                </c:pt>
                <c:pt idx="281">
                  <c:v>-1.180171337959973</c:v>
                </c:pt>
                <c:pt idx="282">
                  <c:v>1.0942146185625847</c:v>
                </c:pt>
                <c:pt idx="283">
                  <c:v>-1.0258700877830784</c:v>
                </c:pt>
                <c:pt idx="284">
                  <c:v>0.91411390177240304</c:v>
                </c:pt>
                <c:pt idx="285">
                  <c:v>-0.81435109822795992</c:v>
                </c:pt>
                <c:pt idx="286">
                  <c:v>0.72526643108881728</c:v>
                </c:pt>
                <c:pt idx="287">
                  <c:v>-0.61776796445011672</c:v>
                </c:pt>
                <c:pt idx="288">
                  <c:v>0.49000663490573021</c:v>
                </c:pt>
                <c:pt idx="289">
                  <c:v>-0.39846224601058866</c:v>
                </c:pt>
                <c:pt idx="290">
                  <c:v>0.28168164037098475</c:v>
                </c:pt>
                <c:pt idx="291">
                  <c:v>-0.15201996225675382</c:v>
                </c:pt>
                <c:pt idx="292">
                  <c:v>3.9180602553568401E-2</c:v>
                </c:pt>
                <c:pt idx="293">
                  <c:v>6.4150510936749505E-2</c:v>
                </c:pt>
                <c:pt idx="294">
                  <c:v>-0.20615421638601703</c:v>
                </c:pt>
                <c:pt idx="295">
                  <c:v>0.31947108714809819</c:v>
                </c:pt>
                <c:pt idx="296">
                  <c:v>-0.42639073159232127</c:v>
                </c:pt>
                <c:pt idx="297">
                  <c:v>0.55293862871858035</c:v>
                </c:pt>
                <c:pt idx="298">
                  <c:v>-0.68172820898507702</c:v>
                </c:pt>
                <c:pt idx="299">
                  <c:v>0.77269202116569702</c:v>
                </c:pt>
                <c:pt idx="300">
                  <c:v>-0.89491941871952718</c:v>
                </c:pt>
                <c:pt idx="301">
                  <c:v>1.0140378566318706</c:v>
                </c:pt>
                <c:pt idx="302">
                  <c:v>-1.1081052698284455</c:v>
                </c:pt>
                <c:pt idx="303">
                  <c:v>1.2011331536605003</c:v>
                </c:pt>
                <c:pt idx="304">
                  <c:v>-1.3217834845569576</c:v>
                </c:pt>
                <c:pt idx="305">
                  <c:v>1.3997473256652495</c:v>
                </c:pt>
                <c:pt idx="306">
                  <c:v>-1.4792104765466971</c:v>
                </c:pt>
                <c:pt idx="307">
                  <c:v>1.5739725042223696</c:v>
                </c:pt>
                <c:pt idx="308">
                  <c:v>-1.6534982944214445</c:v>
                </c:pt>
                <c:pt idx="309">
                  <c:v>1.6996251767618951</c:v>
                </c:pt>
                <c:pt idx="310">
                  <c:v>-1.7796430690641121</c:v>
                </c:pt>
                <c:pt idx="311">
                  <c:v>1.8388428331558142</c:v>
                </c:pt>
                <c:pt idx="312">
                  <c:v>-1.8719117458926018</c:v>
                </c:pt>
                <c:pt idx="313">
                  <c:v>1.9121655719984665</c:v>
                </c:pt>
                <c:pt idx="314">
                  <c:v>-1.9655697048143079</c:v>
                </c:pt>
                <c:pt idx="315">
                  <c:v>1.9690722711027113</c:v>
                </c:pt>
                <c:pt idx="316">
                  <c:v>-1.9852733750863707</c:v>
                </c:pt>
                <c:pt idx="317">
                  <c:v>2.0084230953553579</c:v>
                </c:pt>
                <c:pt idx="318">
                  <c:v>-2.0039789117289453</c:v>
                </c:pt>
                <c:pt idx="319">
                  <c:v>1.9770679844318961</c:v>
                </c:pt>
                <c:pt idx="320">
                  <c:v>-1.9834378409633255</c:v>
                </c:pt>
                <c:pt idx="321">
                  <c:v>1.9539210627439818</c:v>
                </c:pt>
                <c:pt idx="322">
                  <c:v>-1.9058778118545505</c:v>
                </c:pt>
                <c:pt idx="323">
                  <c:v>1.8721062980569514</c:v>
                </c:pt>
                <c:pt idx="324">
                  <c:v>-1.8370349598782922</c:v>
                </c:pt>
                <c:pt idx="325">
                  <c:v>1.7542249108731722</c:v>
                </c:pt>
                <c:pt idx="326">
                  <c:v>-1.697188113182188</c:v>
                </c:pt>
                <c:pt idx="327">
                  <c:v>1.636717593785703</c:v>
                </c:pt>
                <c:pt idx="328">
                  <c:v>-1.5447508998378736</c:v>
                </c:pt>
                <c:pt idx="329">
                  <c:v>1.4463970753309023</c:v>
                </c:pt>
                <c:pt idx="330">
                  <c:v>-1.3777500578823052</c:v>
                </c:pt>
                <c:pt idx="331">
                  <c:v>1.264299024842781</c:v>
                </c:pt>
                <c:pt idx="332">
                  <c:v>-1.147850619558014</c:v>
                </c:pt>
                <c:pt idx="333">
                  <c:v>1.0502594757070403</c:v>
                </c:pt>
                <c:pt idx="334">
                  <c:v>-0.93993173416511455</c:v>
                </c:pt>
                <c:pt idx="335">
                  <c:v>0.7935615954961418</c:v>
                </c:pt>
                <c:pt idx="336">
                  <c:v>-0.68530756836495443</c:v>
                </c:pt>
                <c:pt idx="337">
                  <c:v>0.56301346231902905</c:v>
                </c:pt>
                <c:pt idx="338">
                  <c:v>-0.41486450380555528</c:v>
                </c:pt>
                <c:pt idx="339">
                  <c:v>0.27832059783098245</c:v>
                </c:pt>
                <c:pt idx="340">
                  <c:v>-0.16509356916624252</c:v>
                </c:pt>
                <c:pt idx="341">
                  <c:v>6.0230369499621097E-3</c:v>
                </c:pt>
                <c:pt idx="342">
                  <c:v>0.13576180547674294</c:v>
                </c:pt>
                <c:pt idx="343">
                  <c:v>-0.25828951975251213</c:v>
                </c:pt>
                <c:pt idx="344">
                  <c:v>0.40015211630929892</c:v>
                </c:pt>
                <c:pt idx="345">
                  <c:v>-0.55933105929735816</c:v>
                </c:pt>
                <c:pt idx="346">
                  <c:v>0.6721165790723781</c:v>
                </c:pt>
                <c:pt idx="347">
                  <c:v>-0.80850565143997866</c:v>
                </c:pt>
                <c:pt idx="348">
                  <c:v>0.95702964852085537</c:v>
                </c:pt>
                <c:pt idx="349">
                  <c:v>-1.07852122997161</c:v>
                </c:pt>
                <c:pt idx="350">
                  <c:v>1.185802635570784</c:v>
                </c:pt>
                <c:pt idx="351">
                  <c:v>-1.3324608762528767</c:v>
                </c:pt>
                <c:pt idx="352">
                  <c:v>1.4416963938378664</c:v>
                </c:pt>
                <c:pt idx="353">
                  <c:v>-1.5369334102859167</c:v>
                </c:pt>
                <c:pt idx="354">
                  <c:v>1.6528141076278835</c:v>
                </c:pt>
                <c:pt idx="355">
                  <c:v>-1.764799945885408</c:v>
                </c:pt>
                <c:pt idx="356">
                  <c:v>1.8293105142627399</c:v>
                </c:pt>
                <c:pt idx="357">
                  <c:v>-1.925193880598032</c:v>
                </c:pt>
                <c:pt idx="358">
                  <c:v>2.0149405650554</c:v>
                </c:pt>
                <c:pt idx="359">
                  <c:v>-2.0693039742083963</c:v>
                </c:pt>
                <c:pt idx="360">
                  <c:v>2.1208657955657921</c:v>
                </c:pt>
                <c:pt idx="361">
                  <c:v>-2.1999402219410156</c:v>
                </c:pt>
                <c:pt idx="362">
                  <c:v>2.2269022121877731</c:v>
                </c:pt>
                <c:pt idx="363">
                  <c:v>-2.2512865802284971</c:v>
                </c:pt>
                <c:pt idx="364">
                  <c:v>2.2929688940347379</c:v>
                </c:pt>
                <c:pt idx="365">
                  <c:v>-2.3123616629554822</c:v>
                </c:pt>
                <c:pt idx="366">
                  <c:v>2.2921830827789327</c:v>
                </c:pt>
                <c:pt idx="367">
                  <c:v>-2.3088047658567494</c:v>
                </c:pt>
                <c:pt idx="368">
                  <c:v>2.300951301913519</c:v>
                </c:pt>
                <c:pt idx="369">
                  <c:v>-2.2595598671918986</c:v>
                </c:pt>
                <c:pt idx="370">
                  <c:v>2.2279022214835771</c:v>
                </c:pt>
                <c:pt idx="371">
                  <c:v>-2.2094970881595239</c:v>
                </c:pt>
                <c:pt idx="372">
                  <c:v>2.1338702694961609</c:v>
                </c:pt>
                <c:pt idx="373">
                  <c:v>-2.07211800904357</c:v>
                </c:pt>
                <c:pt idx="374">
                  <c:v>2.0208131878038254</c:v>
                </c:pt>
                <c:pt idx="375">
                  <c:v>-1.9361664568242549</c:v>
                </c:pt>
                <c:pt idx="376">
                  <c:v>1.8283633221749951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61472"/>
        <c:axId val="127168896"/>
      </c:scatterChart>
      <c:valAx>
        <c:axId val="127161472"/>
        <c:scaling>
          <c:orientation val="minMax"/>
          <c:max val="3.5"/>
          <c:min val="-3.5"/>
        </c:scaling>
        <c:delete val="1"/>
        <c:axPos val="b"/>
        <c:numFmt formatCode="#,##0.00" sourceLinked="1"/>
        <c:majorTickMark val="out"/>
        <c:minorTickMark val="none"/>
        <c:tickLblPos val="nextTo"/>
        <c:crossAx val="127168896"/>
        <c:crosses val="autoZero"/>
        <c:crossBetween val="midCat"/>
        <c:majorUnit val="1"/>
        <c:minorUnit val="1"/>
      </c:valAx>
      <c:valAx>
        <c:axId val="127168896"/>
        <c:scaling>
          <c:orientation val="minMax"/>
          <c:max val="3.5"/>
          <c:min val="-3.5"/>
        </c:scaling>
        <c:delete val="1"/>
        <c:axPos val="l"/>
        <c:numFmt formatCode="#,##0.00" sourceLinked="1"/>
        <c:majorTickMark val="out"/>
        <c:minorTickMark val="none"/>
        <c:tickLblPos val="nextTo"/>
        <c:crossAx val="127161472"/>
        <c:crosses val="autoZero"/>
        <c:crossBetween val="midCat"/>
        <c:majorUnit val="1"/>
        <c:minorUnit val="0.2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022" r="0.75000000000000022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CheckBox" checked="Checked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Scroll" dx="0" fmlaLink="$R$2" horiz="1" max="1000" page="10" val="830"/>
</file>

<file path=xl/ctrlProps/ctrlProp5.xml><?xml version="1.0" encoding="utf-8"?>
<formControlPr xmlns="http://schemas.microsoft.com/office/spreadsheetml/2009/9/main" objectType="Scroll" dx="0" fmlaLink="$S$2" horiz="1" max="1000" page="10" val="825"/>
</file>

<file path=xl/ctrlProps/ctrlProp6.xml><?xml version="1.0" encoding="utf-8"?>
<formControlPr xmlns="http://schemas.microsoft.com/office/spreadsheetml/2009/9/main" objectType="Scroll" dx="0" fmlaLink="$T$2" horiz="1" max="1000" min="1" page="10" val="529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Scroll" dx="0" fmlaLink="$A$13" horiz="1" max="10" min="1" page="10" val="2"/>
</file>

<file path=xl/ctrlProps/ctrlProp9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714375</xdr:colOff>
      <xdr:row>0</xdr:row>
      <xdr:rowOff>0</xdr:rowOff>
    </xdr:from>
    <xdr:to>
      <xdr:col>9</xdr:col>
      <xdr:colOff>525780</xdr:colOff>
      <xdr:row>29</xdr:row>
      <xdr:rowOff>135255</xdr:rowOff>
    </xdr:to>
    <xdr:graphicFrame macro="">
      <xdr:nvGraphicFramePr>
        <xdr:cNvPr id="104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137160</xdr:colOff>
          <xdr:row>1</xdr:row>
          <xdr:rowOff>7620</xdr:rowOff>
        </xdr:from>
        <xdr:to>
          <xdr:col>0</xdr:col>
          <xdr:colOff>1219200</xdr:colOff>
          <xdr:row>2</xdr:row>
          <xdr:rowOff>7620</xdr:rowOff>
        </xdr:to>
        <xdr:sp macro="" textlink="">
          <xdr:nvSpPr>
            <xdr:cNvPr id="1027" name="NewChart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Произвольно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137160</xdr:colOff>
          <xdr:row>5</xdr:row>
          <xdr:rowOff>160020</xdr:rowOff>
        </xdr:from>
        <xdr:to>
          <xdr:col>0</xdr:col>
          <xdr:colOff>1143000</xdr:colOff>
          <xdr:row>7</xdr:row>
          <xdr:rowOff>0</xdr:rowOff>
        </xdr:to>
        <xdr:sp macro="" textlink="">
          <xdr:nvSpPr>
            <xdr:cNvPr id="1029" name="cbSmoothLine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Сгладить линии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144780</xdr:rowOff>
        </xdr:from>
        <xdr:to>
          <xdr:col>1</xdr:col>
          <xdr:colOff>792480</xdr:colOff>
          <xdr:row>3</xdr:row>
          <xdr:rowOff>60960</xdr:rowOff>
        </xdr:to>
        <xdr:sp macro="" textlink="">
          <xdr:nvSpPr>
            <xdr:cNvPr id="1032" name="AddToFavoritesButton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Favorites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137160</xdr:colOff>
          <xdr:row>2</xdr:row>
          <xdr:rowOff>60960</xdr:rowOff>
        </xdr:from>
        <xdr:to>
          <xdr:col>0</xdr:col>
          <xdr:colOff>1219200</xdr:colOff>
          <xdr:row>3</xdr:row>
          <xdr:rowOff>30480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137160</xdr:colOff>
          <xdr:row>3</xdr:row>
          <xdr:rowOff>76200</xdr:rowOff>
        </xdr:from>
        <xdr:to>
          <xdr:col>0</xdr:col>
          <xdr:colOff>1219200</xdr:colOff>
          <xdr:row>4</xdr:row>
          <xdr:rowOff>45720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137160</xdr:colOff>
          <xdr:row>4</xdr:row>
          <xdr:rowOff>76200</xdr:rowOff>
        </xdr:from>
        <xdr:to>
          <xdr:col>0</xdr:col>
          <xdr:colOff>1219200</xdr:colOff>
          <xdr:row>5</xdr:row>
          <xdr:rowOff>45720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8</xdr:row>
          <xdr:rowOff>152400</xdr:rowOff>
        </xdr:from>
        <xdr:to>
          <xdr:col>0</xdr:col>
          <xdr:colOff>1211580</xdr:colOff>
          <xdr:row>10</xdr:row>
          <xdr:rowOff>30480</xdr:rowOff>
        </xdr:to>
        <xdr:sp macro="" textlink="">
          <xdr:nvSpPr>
            <xdr:cNvPr id="1042" name="AnimateButton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Анимация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10</xdr:row>
          <xdr:rowOff>76200</xdr:rowOff>
        </xdr:from>
        <xdr:to>
          <xdr:col>0</xdr:col>
          <xdr:colOff>1211580</xdr:colOff>
          <xdr:row>11</xdr:row>
          <xdr:rowOff>60960</xdr:rowOff>
        </xdr:to>
        <xdr:sp macro="" textlink="">
          <xdr:nvSpPr>
            <xdr:cNvPr id="1048" name="Scroll Bar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83820</xdr:colOff>
          <xdr:row>0</xdr:row>
          <xdr:rowOff>68580</xdr:rowOff>
        </xdr:from>
        <xdr:to>
          <xdr:col>1</xdr:col>
          <xdr:colOff>708660</xdr:colOff>
          <xdr:row>0</xdr:row>
          <xdr:rowOff>335280</xdr:rowOff>
        </xdr:to>
        <xdr:sp macro="" textlink="">
          <xdr:nvSpPr>
            <xdr:cNvPr id="2049" name="Return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://spreadsheetpage.com/" TargetMode="Externa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383"/>
  <sheetViews>
    <sheetView showGridLines="0" tabSelected="1" showOutlineSymbols="0" workbookViewId="0">
      <selection activeCell="P31" sqref="P31"/>
    </sheetView>
  </sheetViews>
  <sheetFormatPr defaultRowHeight="14.4" x14ac:dyDescent="0.3"/>
  <cols>
    <col min="1" max="1" width="20" customWidth="1"/>
    <col min="2" max="2" width="16.6640625" customWidth="1"/>
    <col min="3" max="5" width="10.44140625" customWidth="1"/>
    <col min="8" max="8" width="12.44140625" customWidth="1"/>
    <col min="13" max="13" width="6.33203125" customWidth="1"/>
    <col min="14" max="16" width="6.88671875" customWidth="1"/>
    <col min="17" max="17" width="7.5546875" customWidth="1"/>
    <col min="18" max="20" width="9.33203125" customWidth="1"/>
    <col min="21" max="22" width="9.88671875" customWidth="1"/>
  </cols>
  <sheetData>
    <row r="1" spans="1:24" x14ac:dyDescent="0.3">
      <c r="A1" s="4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0"/>
      <c r="O1" s="10"/>
      <c r="P1" s="10"/>
      <c r="Q1" s="11"/>
      <c r="R1" s="12" t="s">
        <v>0</v>
      </c>
      <c r="S1" s="12" t="s">
        <v>1</v>
      </c>
      <c r="T1" s="12" t="s">
        <v>2</v>
      </c>
      <c r="U1" s="11"/>
      <c r="V1" s="12" t="s">
        <v>12</v>
      </c>
      <c r="W1" s="14">
        <f>AVERAGE(x)</f>
        <v>264.78702929459678</v>
      </c>
      <c r="X1" s="14">
        <f>AVERAGE(y)</f>
        <v>310.29544571545517</v>
      </c>
    </row>
    <row r="2" spans="1:24" ht="18" customHeight="1" x14ac:dyDescent="0.3">
      <c r="A2" s="1"/>
      <c r="B2" s="19" t="s">
        <v>11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0"/>
      <c r="O2" s="10"/>
      <c r="P2" s="10"/>
      <c r="Q2" s="11"/>
      <c r="R2" s="13">
        <v>830</v>
      </c>
      <c r="S2" s="13">
        <v>825</v>
      </c>
      <c r="T2" s="13">
        <v>529</v>
      </c>
      <c r="U2" s="11"/>
      <c r="V2" s="14">
        <v>0</v>
      </c>
      <c r="W2" s="14">
        <f>STDEV(x)</f>
        <v>122931.68100320848</v>
      </c>
      <c r="X2" s="14">
        <f>STDEV(y)</f>
        <v>130732.49188147213</v>
      </c>
    </row>
    <row r="3" spans="1:24" x14ac:dyDescent="0.3">
      <c r="A3" s="1"/>
      <c r="B3" s="20">
        <f>a_inc</f>
        <v>830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0"/>
      <c r="O3" s="10"/>
      <c r="P3" s="10"/>
      <c r="Q3" s="11"/>
      <c r="R3" s="11"/>
      <c r="S3" s="11"/>
      <c r="T3" s="11"/>
      <c r="U3" s="11"/>
      <c r="V3" s="11"/>
      <c r="W3" s="11"/>
      <c r="X3" s="11"/>
    </row>
    <row r="4" spans="1:24" x14ac:dyDescent="0.3">
      <c r="A4" s="1"/>
      <c r="B4" s="21">
        <f>b_inc</f>
        <v>825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0"/>
      <c r="O4" s="10"/>
      <c r="P4" s="10"/>
      <c r="Q4" s="11"/>
      <c r="R4" s="12" t="s">
        <v>3</v>
      </c>
      <c r="S4" s="12" t="s">
        <v>4</v>
      </c>
      <c r="T4" s="12" t="s">
        <v>5</v>
      </c>
      <c r="U4" s="12" t="s">
        <v>6</v>
      </c>
      <c r="V4" s="12" t="s">
        <v>7</v>
      </c>
      <c r="W4" s="12" t="s">
        <v>8</v>
      </c>
      <c r="X4" s="12" t="s">
        <v>9</v>
      </c>
    </row>
    <row r="5" spans="1:24" x14ac:dyDescent="0.3">
      <c r="A5" s="1"/>
      <c r="B5" s="22">
        <f>t_inc</f>
        <v>529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0"/>
      <c r="O5" s="10"/>
      <c r="P5" s="10"/>
      <c r="Q5" s="11"/>
      <c r="R5" s="15">
        <f>1+animate</f>
        <v>1</v>
      </c>
      <c r="S5" s="15">
        <f>1+animate</f>
        <v>1</v>
      </c>
      <c r="T5" s="15">
        <f>animate+1</f>
        <v>1</v>
      </c>
      <c r="U5" s="16">
        <f>(R5-S5)*COS(T5)+S5*COS((R5/S5-1)*T5)</f>
        <v>1</v>
      </c>
      <c r="V5" s="16">
        <f>(R5-S5)*SIN(T5)-S5*SIN((R5/S5-1)*T5)</f>
        <v>0</v>
      </c>
      <c r="W5" s="17">
        <f t="shared" ref="W5:W68" si="0">(U5-$W$1)/$W$2</f>
        <v>-2.145801856298638E-3</v>
      </c>
      <c r="X5" s="17">
        <f t="shared" ref="X5:X68" si="1">(V5-$X$1)/$X$2</f>
        <v>-2.3735143517097704E-3</v>
      </c>
    </row>
    <row r="6" spans="1:24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0"/>
      <c r="O6" s="10"/>
      <c r="P6" s="10"/>
      <c r="Q6" s="11"/>
      <c r="R6" s="15">
        <f t="shared" ref="R6:R69" si="2">R5+a_inc</f>
        <v>831</v>
      </c>
      <c r="S6" s="15">
        <f>S5+b_inc</f>
        <v>826</v>
      </c>
      <c r="T6" s="15">
        <f t="shared" ref="T6:T69" si="3">T5+t_inc</f>
        <v>530</v>
      </c>
      <c r="U6" s="16">
        <f t="shared" ref="U6:U36" si="4">(R6-S6)*COS(T6)+S6*COS((R6/S6-1)*T6)</f>
        <v>-827.15914452977574</v>
      </c>
      <c r="V6" s="16">
        <f t="shared" ref="V6:V36" si="5">(R6-S6)*SIN(T6)-S6*SIN((R6/S6-1)*T6)</f>
        <v>59.009319136271657</v>
      </c>
      <c r="W6" s="17">
        <f t="shared" si="0"/>
        <v>-8.88254488113502E-3</v>
      </c>
      <c r="X6" s="17">
        <f t="shared" si="1"/>
        <v>-1.9221398059711939E-3</v>
      </c>
    </row>
    <row r="7" spans="1:24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0"/>
      <c r="O7" s="10"/>
      <c r="P7" s="10"/>
      <c r="Q7" s="11"/>
      <c r="R7" s="15">
        <f t="shared" si="2"/>
        <v>1661</v>
      </c>
      <c r="S7" s="15">
        <f t="shared" ref="S7:S70" si="6">S6+b_inc</f>
        <v>1651</v>
      </c>
      <c r="T7" s="15">
        <f t="shared" si="3"/>
        <v>1059</v>
      </c>
      <c r="U7" s="16">
        <f t="shared" si="4"/>
        <v>1627.2288620060515</v>
      </c>
      <c r="V7" s="16">
        <f t="shared" si="5"/>
        <v>-218.63646793332265</v>
      </c>
      <c r="W7" s="17">
        <f t="shared" si="0"/>
        <v>1.1082918752863189E-2</v>
      </c>
      <c r="X7" s="17">
        <f t="shared" si="1"/>
        <v>-4.045910133253873E-3</v>
      </c>
    </row>
    <row r="8" spans="1:24" x14ac:dyDescent="0.3">
      <c r="A8" s="5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0"/>
      <c r="O8" s="10"/>
      <c r="P8" s="10"/>
      <c r="Q8" s="11"/>
      <c r="R8" s="15">
        <f t="shared" si="2"/>
        <v>2491</v>
      </c>
      <c r="S8" s="15">
        <f t="shared" si="6"/>
        <v>2476</v>
      </c>
      <c r="T8" s="15">
        <f t="shared" si="3"/>
        <v>1588</v>
      </c>
      <c r="U8" s="16">
        <f t="shared" si="4"/>
        <v>-2429.9218212285809</v>
      </c>
      <c r="V8" s="16">
        <f t="shared" si="5"/>
        <v>466.21079705898808</v>
      </c>
      <c r="W8" s="17">
        <f t="shared" si="0"/>
        <v>-2.1920377469277809E-2</v>
      </c>
      <c r="X8" s="17">
        <f t="shared" si="1"/>
        <v>1.192628925675896E-3</v>
      </c>
    </row>
    <row r="9" spans="1:24" ht="14.25" customHeight="1" x14ac:dyDescent="0.3">
      <c r="A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0"/>
      <c r="O9" s="10"/>
      <c r="P9" s="10"/>
      <c r="Q9" s="11"/>
      <c r="R9" s="15">
        <f t="shared" si="2"/>
        <v>3321</v>
      </c>
      <c r="S9" s="15">
        <f t="shared" si="6"/>
        <v>3301</v>
      </c>
      <c r="T9" s="15">
        <f t="shared" si="3"/>
        <v>2117</v>
      </c>
      <c r="U9" s="16">
        <f t="shared" si="4"/>
        <v>3208.1650528683308</v>
      </c>
      <c r="V9" s="16">
        <f t="shared" si="5"/>
        <v>-857.16849924858627</v>
      </c>
      <c r="W9" s="17">
        <f t="shared" si="0"/>
        <v>2.3943201618604019E-2</v>
      </c>
      <c r="X9" s="17">
        <f t="shared" si="1"/>
        <v>-8.9301743442824905E-3</v>
      </c>
    </row>
    <row r="10" spans="1:24" ht="14.25" customHeight="1" x14ac:dyDescent="0.3">
      <c r="A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0"/>
      <c r="O10" s="10"/>
      <c r="P10" s="10"/>
      <c r="Q10" s="11"/>
      <c r="R10" s="15">
        <f t="shared" si="2"/>
        <v>4151</v>
      </c>
      <c r="S10" s="15">
        <f t="shared" si="6"/>
        <v>4126</v>
      </c>
      <c r="T10" s="15">
        <f t="shared" si="3"/>
        <v>2646</v>
      </c>
      <c r="U10" s="16">
        <f t="shared" si="4"/>
        <v>-3892.8564467887313</v>
      </c>
      <c r="V10" s="16">
        <f t="shared" si="5"/>
        <v>1333.1304360941365</v>
      </c>
      <c r="W10" s="17">
        <f t="shared" si="0"/>
        <v>-3.3820764852103627E-2</v>
      </c>
      <c r="X10" s="17">
        <f t="shared" si="1"/>
        <v>7.823877413015495E-3</v>
      </c>
    </row>
    <row r="11" spans="1:24" ht="14.25" customHeight="1" x14ac:dyDescent="0.3">
      <c r="A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0"/>
      <c r="O11" s="10"/>
      <c r="P11" s="10"/>
      <c r="Q11" s="11"/>
      <c r="R11" s="15">
        <f t="shared" si="2"/>
        <v>4981</v>
      </c>
      <c r="S11" s="15">
        <f t="shared" si="6"/>
        <v>4951</v>
      </c>
      <c r="T11" s="15">
        <f t="shared" si="3"/>
        <v>3175</v>
      </c>
      <c r="U11" s="16">
        <f t="shared" si="4"/>
        <v>4568.889158756876</v>
      </c>
      <c r="V11" s="16">
        <f t="shared" si="5"/>
        <v>-1850.2640266008323</v>
      </c>
      <c r="W11" s="17">
        <f t="shared" si="0"/>
        <v>3.5012147351584193E-2</v>
      </c>
      <c r="X11" s="17">
        <f t="shared" si="1"/>
        <v>-1.6526568423977924E-2</v>
      </c>
    </row>
    <row r="12" spans="1:24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0"/>
      <c r="O12" s="10"/>
      <c r="P12" s="10"/>
      <c r="Q12" s="11"/>
      <c r="R12" s="15">
        <f t="shared" si="2"/>
        <v>5811</v>
      </c>
      <c r="S12" s="15">
        <f t="shared" si="6"/>
        <v>5776</v>
      </c>
      <c r="T12" s="15">
        <f t="shared" si="3"/>
        <v>3704</v>
      </c>
      <c r="U12" s="16">
        <f t="shared" si="4"/>
        <v>-5227.2166664447304</v>
      </c>
      <c r="V12" s="16">
        <f t="shared" si="5"/>
        <v>2528.1103537761751</v>
      </c>
      <c r="W12" s="17">
        <f t="shared" si="0"/>
        <v>-4.4675250927350356E-2</v>
      </c>
      <c r="X12" s="17">
        <f t="shared" si="1"/>
        <v>1.6964527151149916E-2</v>
      </c>
    </row>
    <row r="13" spans="1:24" x14ac:dyDescent="0.3">
      <c r="A13" s="23">
        <v>2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0"/>
      <c r="O13" s="10"/>
      <c r="P13" s="10"/>
      <c r="Q13" s="11"/>
      <c r="R13" s="15">
        <f t="shared" si="2"/>
        <v>6641</v>
      </c>
      <c r="S13" s="15">
        <f t="shared" si="6"/>
        <v>6601</v>
      </c>
      <c r="T13" s="15">
        <f t="shared" si="3"/>
        <v>4233</v>
      </c>
      <c r="U13" s="16">
        <f t="shared" si="4"/>
        <v>5723.6198114509307</v>
      </c>
      <c r="V13" s="16">
        <f t="shared" si="5"/>
        <v>-3306.2299047141664</v>
      </c>
      <c r="W13" s="17">
        <f t="shared" si="0"/>
        <v>4.4405418827827309E-2</v>
      </c>
      <c r="X13" s="17">
        <f t="shared" si="1"/>
        <v>-2.7663554013095105E-2</v>
      </c>
    </row>
    <row r="14" spans="1:24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0"/>
      <c r="O14" s="10"/>
      <c r="P14" s="10"/>
      <c r="Q14" s="11"/>
      <c r="R14" s="15">
        <f t="shared" si="2"/>
        <v>7471</v>
      </c>
      <c r="S14" s="15">
        <f t="shared" si="6"/>
        <v>7426</v>
      </c>
      <c r="T14" s="15">
        <f t="shared" si="3"/>
        <v>4762</v>
      </c>
      <c r="U14" s="16">
        <f t="shared" si="4"/>
        <v>-6166.1429782837076</v>
      </c>
      <c r="V14" s="16">
        <f t="shared" si="5"/>
        <v>4057.040432238859</v>
      </c>
      <c r="W14" s="17">
        <f t="shared" si="0"/>
        <v>-5.2313040504265614E-2</v>
      </c>
      <c r="X14" s="17">
        <f t="shared" si="1"/>
        <v>2.8659631072590345E-2</v>
      </c>
    </row>
    <row r="15" spans="1:24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0"/>
      <c r="O15" s="10"/>
      <c r="P15" s="10"/>
      <c r="Q15" s="11"/>
      <c r="R15" s="15">
        <f t="shared" si="2"/>
        <v>8301</v>
      </c>
      <c r="S15" s="15">
        <f t="shared" si="6"/>
        <v>8251</v>
      </c>
      <c r="T15" s="15">
        <f t="shared" si="3"/>
        <v>5291</v>
      </c>
      <c r="U15" s="16">
        <f t="shared" si="4"/>
        <v>6626.5819799011351</v>
      </c>
      <c r="V15" s="16">
        <f t="shared" si="5"/>
        <v>-4946.2288225959637</v>
      </c>
      <c r="W15" s="17">
        <f t="shared" si="0"/>
        <v>5.1750654499229512E-2</v>
      </c>
      <c r="X15" s="17">
        <f t="shared" si="1"/>
        <v>-4.0208246570234557E-2</v>
      </c>
    </row>
    <row r="16" spans="1:24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0"/>
      <c r="O16" s="10"/>
      <c r="P16" s="10"/>
      <c r="Q16" s="11"/>
      <c r="R16" s="15">
        <f t="shared" si="2"/>
        <v>9131</v>
      </c>
      <c r="S16" s="15">
        <f t="shared" si="6"/>
        <v>9076</v>
      </c>
      <c r="T16" s="15">
        <f t="shared" si="3"/>
        <v>5820</v>
      </c>
      <c r="U16" s="16">
        <f t="shared" si="4"/>
        <v>-6885.9728338487748</v>
      </c>
      <c r="V16" s="16">
        <f t="shared" si="5"/>
        <v>5979.0432481700891</v>
      </c>
      <c r="W16" s="17">
        <f t="shared" si="0"/>
        <v>-5.8168568141167283E-2</v>
      </c>
      <c r="X16" s="17">
        <f t="shared" si="1"/>
        <v>4.3361430053625624E-2</v>
      </c>
    </row>
    <row r="17" spans="1:24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0"/>
      <c r="O17" s="10"/>
      <c r="P17" s="10"/>
      <c r="Q17" s="11"/>
      <c r="R17" s="15">
        <f t="shared" si="2"/>
        <v>9961</v>
      </c>
      <c r="S17" s="15">
        <f t="shared" si="6"/>
        <v>9901</v>
      </c>
      <c r="T17" s="15">
        <f t="shared" si="3"/>
        <v>6349</v>
      </c>
      <c r="U17" s="16">
        <f t="shared" si="4"/>
        <v>7008.7641119382215</v>
      </c>
      <c r="V17" s="16">
        <f t="shared" si="5"/>
        <v>-6923.9872883932494</v>
      </c>
      <c r="W17" s="17">
        <f t="shared" si="0"/>
        <v>5.4859553107938136E-2</v>
      </c>
      <c r="X17" s="17">
        <f t="shared" si="1"/>
        <v>-5.5336532104563768E-2</v>
      </c>
    </row>
    <row r="18" spans="1:24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0"/>
      <c r="O18" s="10"/>
      <c r="P18" s="10"/>
      <c r="Q18" s="11"/>
      <c r="R18" s="15">
        <f t="shared" si="2"/>
        <v>10791</v>
      </c>
      <c r="S18" s="15">
        <f t="shared" si="6"/>
        <v>10726</v>
      </c>
      <c r="T18" s="15">
        <f t="shared" si="3"/>
        <v>6878</v>
      </c>
      <c r="U18" s="16">
        <f t="shared" si="4"/>
        <v>-7189.282498870064</v>
      </c>
      <c r="V18" s="16">
        <f t="shared" si="5"/>
        <v>7932.3852309551658</v>
      </c>
      <c r="W18" s="17">
        <f t="shared" si="0"/>
        <v>-6.0635870813237409E-2</v>
      </c>
      <c r="X18" s="17">
        <f t="shared" si="1"/>
        <v>5.8302948835016737E-2</v>
      </c>
    </row>
    <row r="19" spans="1:24" x14ac:dyDescent="0.3">
      <c r="A19" s="6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0"/>
      <c r="O19" s="10"/>
      <c r="P19" s="10"/>
      <c r="Q19" s="11"/>
      <c r="R19" s="15">
        <f t="shared" si="2"/>
        <v>11621</v>
      </c>
      <c r="S19" s="15">
        <f t="shared" si="6"/>
        <v>11551</v>
      </c>
      <c r="T19" s="15">
        <f t="shared" si="3"/>
        <v>7407</v>
      </c>
      <c r="U19" s="16">
        <f t="shared" si="4"/>
        <v>7182.2224852566824</v>
      </c>
      <c r="V19" s="16">
        <f t="shared" si="5"/>
        <v>-9135.7883903118909</v>
      </c>
      <c r="W19" s="17">
        <f t="shared" si="0"/>
        <v>5.6270567517754382E-2</v>
      </c>
      <c r="X19" s="17">
        <f t="shared" si="1"/>
        <v>-7.2255058402708211E-2</v>
      </c>
    </row>
    <row r="20" spans="1:24" x14ac:dyDescent="0.3">
      <c r="A20" s="7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0"/>
      <c r="O20" s="10"/>
      <c r="P20" s="10"/>
      <c r="Q20" s="11"/>
      <c r="R20" s="15">
        <f t="shared" si="2"/>
        <v>12451</v>
      </c>
      <c r="S20" s="15">
        <f t="shared" si="6"/>
        <v>12376</v>
      </c>
      <c r="T20" s="15">
        <f t="shared" si="3"/>
        <v>7936</v>
      </c>
      <c r="U20" s="16">
        <f t="shared" si="4"/>
        <v>-6933.5948748332712</v>
      </c>
      <c r="V20" s="16">
        <f t="shared" si="5"/>
        <v>10227.936718600435</v>
      </c>
      <c r="W20" s="17">
        <f t="shared" si="0"/>
        <v>-5.8555954375503837E-2</v>
      </c>
      <c r="X20" s="17">
        <f t="shared" si="1"/>
        <v>7.5862099239083977E-2</v>
      </c>
    </row>
    <row r="21" spans="1:24" x14ac:dyDescent="0.3">
      <c r="A21" s="7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0"/>
      <c r="O21" s="10"/>
      <c r="P21" s="10"/>
      <c r="Q21" s="11"/>
      <c r="R21" s="15">
        <f t="shared" si="2"/>
        <v>13281</v>
      </c>
      <c r="S21" s="15">
        <f t="shared" si="6"/>
        <v>13201</v>
      </c>
      <c r="T21" s="15">
        <f t="shared" si="3"/>
        <v>8465</v>
      </c>
      <c r="U21" s="16">
        <f t="shared" si="4"/>
        <v>6756.3519125980474</v>
      </c>
      <c r="V21" s="16">
        <f t="shared" si="5"/>
        <v>-11262.030687290255</v>
      </c>
      <c r="W21" s="17">
        <f t="shared" si="0"/>
        <v>5.2806280938548479E-2</v>
      </c>
      <c r="X21" s="17">
        <f t="shared" si="1"/>
        <v>-8.8519127620528285E-2</v>
      </c>
    </row>
    <row r="22" spans="1:24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0"/>
      <c r="O22" s="10"/>
      <c r="P22" s="10"/>
      <c r="Q22" s="11"/>
      <c r="R22" s="15">
        <f t="shared" si="2"/>
        <v>14111</v>
      </c>
      <c r="S22" s="15">
        <f t="shared" si="6"/>
        <v>14026</v>
      </c>
      <c r="T22" s="15">
        <f t="shared" si="3"/>
        <v>8994</v>
      </c>
      <c r="U22" s="16">
        <f t="shared" si="4"/>
        <v>-6464.4531637006103</v>
      </c>
      <c r="V22" s="16">
        <f t="shared" si="5"/>
        <v>12519.662112410309</v>
      </c>
      <c r="W22" s="17">
        <f t="shared" si="0"/>
        <v>-5.4739674411672413E-2</v>
      </c>
      <c r="X22" s="17">
        <f t="shared" si="1"/>
        <v>9.3391983056242869E-2</v>
      </c>
    </row>
    <row r="23" spans="1:24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0"/>
      <c r="O23" s="10"/>
      <c r="P23" s="10"/>
      <c r="Q23" s="11"/>
      <c r="R23" s="15">
        <f t="shared" si="2"/>
        <v>14941</v>
      </c>
      <c r="S23" s="15">
        <f t="shared" si="6"/>
        <v>14851</v>
      </c>
      <c r="T23" s="15">
        <f t="shared" si="3"/>
        <v>9523</v>
      </c>
      <c r="U23" s="16">
        <f t="shared" si="4"/>
        <v>5834.6442003004722</v>
      </c>
      <c r="V23" s="16">
        <f t="shared" si="5"/>
        <v>-13697.377129380457</v>
      </c>
      <c r="W23" s="17">
        <f t="shared" si="0"/>
        <v>4.5308557774138822E-2</v>
      </c>
      <c r="X23" s="17">
        <f t="shared" si="1"/>
        <v>-0.10714759868415794</v>
      </c>
    </row>
    <row r="24" spans="1:24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0"/>
      <c r="O24" s="10"/>
      <c r="P24" s="10"/>
      <c r="Q24" s="11"/>
      <c r="R24" s="15">
        <f t="shared" si="2"/>
        <v>15771</v>
      </c>
      <c r="S24" s="15">
        <f t="shared" si="6"/>
        <v>15676</v>
      </c>
      <c r="T24" s="15">
        <f t="shared" si="3"/>
        <v>10052</v>
      </c>
      <c r="U24" s="16">
        <f t="shared" si="4"/>
        <v>-5239.4562422834833</v>
      </c>
      <c r="V24" s="16">
        <f t="shared" si="5"/>
        <v>14674.502164249236</v>
      </c>
      <c r="W24" s="17">
        <f t="shared" si="0"/>
        <v>-4.4774814975762196E-2</v>
      </c>
      <c r="X24" s="17">
        <f t="shared" si="1"/>
        <v>0.10987480244434571</v>
      </c>
    </row>
    <row r="25" spans="1:24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0"/>
      <c r="O25" s="10"/>
      <c r="P25" s="10"/>
      <c r="Q25" s="11"/>
      <c r="R25" s="15">
        <f t="shared" si="2"/>
        <v>16601</v>
      </c>
      <c r="S25" s="15">
        <f t="shared" si="6"/>
        <v>16501</v>
      </c>
      <c r="T25" s="15">
        <f t="shared" si="3"/>
        <v>10581</v>
      </c>
      <c r="U25" s="16">
        <f t="shared" si="4"/>
        <v>4647.7833169218102</v>
      </c>
      <c r="V25" s="16">
        <f t="shared" si="5"/>
        <v>-15850.164280712679</v>
      </c>
      <c r="W25" s="17">
        <f t="shared" si="0"/>
        <v>3.5653919737035224E-2</v>
      </c>
      <c r="X25" s="17">
        <f t="shared" si="1"/>
        <v>-0.1236147150096391</v>
      </c>
    </row>
    <row r="26" spans="1:24" x14ac:dyDescent="0.3">
      <c r="A26" s="8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0"/>
      <c r="O26" s="10"/>
      <c r="P26" s="10"/>
      <c r="Q26" s="11"/>
      <c r="R26" s="15">
        <f t="shared" si="2"/>
        <v>17431</v>
      </c>
      <c r="S26" s="15">
        <f t="shared" si="6"/>
        <v>17326</v>
      </c>
      <c r="T26" s="15">
        <f t="shared" si="3"/>
        <v>11110</v>
      </c>
      <c r="U26" s="16">
        <f t="shared" si="4"/>
        <v>-3667.7815853780799</v>
      </c>
      <c r="V26" s="16">
        <f t="shared" si="5"/>
        <v>17029.780306978158</v>
      </c>
      <c r="W26" s="17">
        <f t="shared" si="0"/>
        <v>-3.1989870980207599E-2</v>
      </c>
      <c r="X26" s="17">
        <f t="shared" si="1"/>
        <v>0.12789081444589406</v>
      </c>
    </row>
    <row r="27" spans="1:24" x14ac:dyDescent="0.3">
      <c r="A27" s="7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0"/>
      <c r="O27" s="10"/>
      <c r="P27" s="10"/>
      <c r="Q27" s="11"/>
      <c r="R27" s="15">
        <f t="shared" si="2"/>
        <v>18261</v>
      </c>
      <c r="S27" s="15">
        <f t="shared" si="6"/>
        <v>18151</v>
      </c>
      <c r="T27" s="15">
        <f t="shared" si="3"/>
        <v>11639</v>
      </c>
      <c r="U27" s="16">
        <f t="shared" si="4"/>
        <v>2627.5821424981964</v>
      </c>
      <c r="V27" s="16">
        <f t="shared" si="5"/>
        <v>-17884.114241784595</v>
      </c>
      <c r="W27" s="17">
        <f t="shared" si="0"/>
        <v>1.9220392122856689E-2</v>
      </c>
      <c r="X27" s="17">
        <f t="shared" si="1"/>
        <v>-0.13917282096937239</v>
      </c>
    </row>
    <row r="28" spans="1:24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0"/>
      <c r="O28" s="10"/>
      <c r="P28" s="10"/>
      <c r="Q28" s="11"/>
      <c r="R28" s="15">
        <f t="shared" si="2"/>
        <v>19091</v>
      </c>
      <c r="S28" s="15">
        <f t="shared" si="6"/>
        <v>18976</v>
      </c>
      <c r="T28" s="15">
        <f t="shared" si="3"/>
        <v>12168</v>
      </c>
      <c r="U28" s="16">
        <f t="shared" si="4"/>
        <v>-1721.4110670602886</v>
      </c>
      <c r="V28" s="16">
        <f t="shared" si="5"/>
        <v>18840.064075583323</v>
      </c>
      <c r="W28" s="17">
        <f t="shared" si="0"/>
        <v>-1.6156926189783788E-2</v>
      </c>
      <c r="X28" s="17">
        <f t="shared" si="1"/>
        <v>0.14173805121581998</v>
      </c>
    </row>
    <row r="29" spans="1:24" x14ac:dyDescent="0.3">
      <c r="A29" s="7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0"/>
      <c r="O29" s="10"/>
      <c r="P29" s="10"/>
      <c r="Q29" s="11"/>
      <c r="R29" s="15">
        <f t="shared" si="2"/>
        <v>19921</v>
      </c>
      <c r="S29" s="15">
        <f t="shared" si="6"/>
        <v>19801</v>
      </c>
      <c r="T29" s="15">
        <f t="shared" si="3"/>
        <v>12697</v>
      </c>
      <c r="U29" s="16">
        <f t="shared" si="4"/>
        <v>453.6038750888589</v>
      </c>
      <c r="V29" s="16">
        <f t="shared" si="5"/>
        <v>-19912.641078926055</v>
      </c>
      <c r="W29" s="17">
        <f t="shared" si="0"/>
        <v>1.5359494334852061E-3</v>
      </c>
      <c r="X29" s="17">
        <f t="shared" si="1"/>
        <v>-0.15468944432709597</v>
      </c>
    </row>
    <row r="30" spans="1:24" x14ac:dyDescent="0.3">
      <c r="A30" s="9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0"/>
      <c r="O30" s="10"/>
      <c r="P30" s="10"/>
      <c r="Q30" s="11"/>
      <c r="R30" s="15">
        <f t="shared" si="2"/>
        <v>20751</v>
      </c>
      <c r="S30" s="15">
        <f t="shared" si="6"/>
        <v>20626</v>
      </c>
      <c r="T30" s="15">
        <f t="shared" si="3"/>
        <v>13226</v>
      </c>
      <c r="U30" s="16">
        <f t="shared" si="4"/>
        <v>1012.5390106374108</v>
      </c>
      <c r="V30" s="16">
        <f t="shared" si="5"/>
        <v>20593.756201726188</v>
      </c>
      <c r="W30" s="17">
        <f t="shared" si="0"/>
        <v>6.0826629493767187E-3</v>
      </c>
      <c r="X30" s="17">
        <f t="shared" si="1"/>
        <v>0.1551524067513424</v>
      </c>
    </row>
    <row r="31" spans="1:24" x14ac:dyDescent="0.3">
      <c r="A31" s="9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0"/>
      <c r="O31" s="10"/>
      <c r="P31" s="10"/>
      <c r="Q31" s="11"/>
      <c r="R31" s="15">
        <f t="shared" si="2"/>
        <v>21581</v>
      </c>
      <c r="S31" s="15">
        <f t="shared" si="6"/>
        <v>21451</v>
      </c>
      <c r="T31" s="15">
        <f t="shared" si="3"/>
        <v>13755</v>
      </c>
      <c r="U31" s="16">
        <f t="shared" si="4"/>
        <v>-2244.3863756940609</v>
      </c>
      <c r="V31" s="16">
        <f t="shared" si="5"/>
        <v>-21210.781642764643</v>
      </c>
      <c r="W31" s="17">
        <f t="shared" si="0"/>
        <v>-2.0411120912949762E-2</v>
      </c>
      <c r="X31" s="17">
        <f t="shared" si="1"/>
        <v>-0.16461919128713665</v>
      </c>
    </row>
    <row r="32" spans="1:24" x14ac:dyDescent="0.3">
      <c r="N32" s="10"/>
      <c r="O32" s="10"/>
      <c r="P32" s="10"/>
      <c r="Q32" s="11"/>
      <c r="R32" s="15">
        <f t="shared" si="2"/>
        <v>22411</v>
      </c>
      <c r="S32" s="15">
        <f t="shared" si="6"/>
        <v>22276</v>
      </c>
      <c r="T32" s="15">
        <f t="shared" si="3"/>
        <v>14284</v>
      </c>
      <c r="U32" s="16">
        <f t="shared" si="4"/>
        <v>3720.9659017296408</v>
      </c>
      <c r="V32" s="16">
        <f t="shared" si="5"/>
        <v>22046.126211278694</v>
      </c>
      <c r="W32" s="17">
        <f t="shared" si="0"/>
        <v>2.8114631185632604E-2</v>
      </c>
      <c r="X32" s="17">
        <f t="shared" si="1"/>
        <v>0.16626188679452317</v>
      </c>
    </row>
    <row r="33" spans="14:24" x14ac:dyDescent="0.3">
      <c r="N33" s="10"/>
      <c r="O33" s="10"/>
      <c r="P33" s="10"/>
      <c r="Q33" s="11"/>
      <c r="R33" s="15">
        <f t="shared" si="2"/>
        <v>23241</v>
      </c>
      <c r="S33" s="15">
        <f t="shared" si="6"/>
        <v>23101</v>
      </c>
      <c r="T33" s="15">
        <f t="shared" si="3"/>
        <v>14813</v>
      </c>
      <c r="U33" s="16">
        <f t="shared" si="4"/>
        <v>-5541.6191066241572</v>
      </c>
      <c r="V33" s="16">
        <f t="shared" si="5"/>
        <v>-22511.373540613928</v>
      </c>
      <c r="W33" s="17">
        <f t="shared" si="0"/>
        <v>-4.7232788883503588E-2</v>
      </c>
      <c r="X33" s="17">
        <f t="shared" si="1"/>
        <v>-0.17456768901047584</v>
      </c>
    </row>
    <row r="34" spans="14:24" x14ac:dyDescent="0.3">
      <c r="N34" s="10"/>
      <c r="O34" s="10"/>
      <c r="P34" s="10"/>
      <c r="Q34" s="11"/>
      <c r="R34" s="15">
        <f t="shared" si="2"/>
        <v>24071</v>
      </c>
      <c r="S34" s="15">
        <f t="shared" si="6"/>
        <v>23926</v>
      </c>
      <c r="T34" s="15">
        <f t="shared" si="3"/>
        <v>15342</v>
      </c>
      <c r="U34" s="16">
        <f t="shared" si="4"/>
        <v>7096.9767631575196</v>
      </c>
      <c r="V34" s="16">
        <f t="shared" si="5"/>
        <v>22705.738350749834</v>
      </c>
      <c r="W34" s="17">
        <f t="shared" si="0"/>
        <v>5.5577127703025586E-2</v>
      </c>
      <c r="X34" s="17">
        <f t="shared" si="1"/>
        <v>0.17130739713382867</v>
      </c>
    </row>
    <row r="35" spans="14:24" x14ac:dyDescent="0.3">
      <c r="N35" s="10"/>
      <c r="O35" s="10"/>
      <c r="P35" s="10"/>
      <c r="Q35" s="11"/>
      <c r="R35" s="15">
        <f t="shared" si="2"/>
        <v>24901</v>
      </c>
      <c r="S35" s="15">
        <f t="shared" si="6"/>
        <v>24751</v>
      </c>
      <c r="T35" s="15">
        <f t="shared" si="3"/>
        <v>15871</v>
      </c>
      <c r="U35" s="16">
        <f t="shared" si="4"/>
        <v>-8702.3884344040307</v>
      </c>
      <c r="V35" s="16">
        <f t="shared" si="5"/>
        <v>-23164.864981447332</v>
      </c>
      <c r="W35" s="17">
        <f t="shared" si="0"/>
        <v>-7.2944381712835987E-2</v>
      </c>
      <c r="X35" s="17">
        <f t="shared" si="1"/>
        <v>-0.17956638085386153</v>
      </c>
    </row>
    <row r="36" spans="14:24" x14ac:dyDescent="0.3">
      <c r="N36" s="10"/>
      <c r="O36" s="10"/>
      <c r="P36" s="10"/>
      <c r="Q36" s="11"/>
      <c r="R36" s="15">
        <f t="shared" si="2"/>
        <v>25731</v>
      </c>
      <c r="S36" s="15">
        <f t="shared" si="6"/>
        <v>25576</v>
      </c>
      <c r="T36" s="15">
        <f t="shared" si="3"/>
        <v>16400</v>
      </c>
      <c r="U36" s="16">
        <f t="shared" si="4"/>
        <v>10757.202529324624</v>
      </c>
      <c r="V36" s="16">
        <f t="shared" si="5"/>
        <v>23369.027440809939</v>
      </c>
      <c r="W36" s="17">
        <f t="shared" si="0"/>
        <v>8.5351598663620146E-2</v>
      </c>
      <c r="X36" s="17">
        <f t="shared" si="1"/>
        <v>0.17638103323235474</v>
      </c>
    </row>
    <row r="37" spans="14:24" x14ac:dyDescent="0.3">
      <c r="N37" s="10"/>
      <c r="O37" s="10"/>
      <c r="P37" s="10"/>
      <c r="Q37" s="11"/>
      <c r="R37" s="15">
        <f t="shared" si="2"/>
        <v>26561</v>
      </c>
      <c r="S37" s="15">
        <f t="shared" si="6"/>
        <v>26401</v>
      </c>
      <c r="T37" s="15">
        <f t="shared" si="3"/>
        <v>16929</v>
      </c>
      <c r="U37" s="16">
        <f t="shared" ref="U37:U100" si="7">(R37-S37)*COS(T37)+S37*COS((R37/S37-1)*T37)</f>
        <v>-12606.873374092518</v>
      </c>
      <c r="V37" s="16">
        <f t="shared" ref="V37:V100" si="8">(R37-S37)*SIN(T37)-S37*SIN((R37/S37-1)*T37)</f>
        <v>-23101.957267815236</v>
      </c>
      <c r="W37" s="17">
        <f t="shared" si="0"/>
        <v>-0.10470580324246254</v>
      </c>
      <c r="X37" s="17">
        <f t="shared" si="1"/>
        <v>-0.17908518667843704</v>
      </c>
    </row>
    <row r="38" spans="14:24" x14ac:dyDescent="0.3">
      <c r="N38" s="10"/>
      <c r="O38" s="10"/>
      <c r="P38" s="10"/>
      <c r="Q38" s="11"/>
      <c r="R38" s="15">
        <f t="shared" si="2"/>
        <v>27391</v>
      </c>
      <c r="S38" s="15">
        <f t="shared" si="6"/>
        <v>27226</v>
      </c>
      <c r="T38" s="15">
        <f t="shared" si="3"/>
        <v>17458</v>
      </c>
      <c r="U38" s="16">
        <f t="shared" si="7"/>
        <v>14272.225367407131</v>
      </c>
      <c r="V38" s="16">
        <f t="shared" si="8"/>
        <v>23056.555725590046</v>
      </c>
      <c r="W38" s="17">
        <f t="shared" si="0"/>
        <v>0.11394490194717946</v>
      </c>
      <c r="X38" s="17">
        <f t="shared" si="1"/>
        <v>0.17399087214292036</v>
      </c>
    </row>
    <row r="39" spans="14:24" x14ac:dyDescent="0.3">
      <c r="N39" s="10"/>
      <c r="O39" s="10"/>
      <c r="P39" s="10"/>
      <c r="Q39" s="11"/>
      <c r="R39" s="15">
        <f t="shared" si="2"/>
        <v>28221</v>
      </c>
      <c r="S39" s="15">
        <f t="shared" si="6"/>
        <v>28051</v>
      </c>
      <c r="T39" s="15">
        <f t="shared" si="3"/>
        <v>17987</v>
      </c>
      <c r="U39" s="16">
        <f t="shared" si="7"/>
        <v>-16405.500051859206</v>
      </c>
      <c r="V39" s="16">
        <f t="shared" si="8"/>
        <v>-22943.365128378311</v>
      </c>
      <c r="W39" s="17">
        <f t="shared" si="0"/>
        <v>-0.13560611019968655</v>
      </c>
      <c r="X39" s="17">
        <f t="shared" si="1"/>
        <v>-0.17787208244432887</v>
      </c>
    </row>
    <row r="40" spans="14:24" x14ac:dyDescent="0.3">
      <c r="N40" s="10"/>
      <c r="O40" s="10"/>
      <c r="P40" s="10"/>
      <c r="Q40" s="11"/>
      <c r="R40" s="15">
        <f t="shared" si="2"/>
        <v>29051</v>
      </c>
      <c r="S40" s="15">
        <f t="shared" si="6"/>
        <v>28876</v>
      </c>
      <c r="T40" s="15">
        <f t="shared" si="3"/>
        <v>18516</v>
      </c>
      <c r="U40" s="16">
        <f t="shared" si="7"/>
        <v>18480.091906512931</v>
      </c>
      <c r="V40" s="16">
        <f t="shared" si="8"/>
        <v>22220.645283385409</v>
      </c>
      <c r="W40" s="17">
        <f t="shared" si="0"/>
        <v>0.14817421130638345</v>
      </c>
      <c r="X40" s="17">
        <f t="shared" si="1"/>
        <v>0.16759681944665178</v>
      </c>
    </row>
    <row r="41" spans="14:24" x14ac:dyDescent="0.3">
      <c r="N41" s="10"/>
      <c r="O41" s="10"/>
      <c r="P41" s="10"/>
      <c r="Q41" s="11"/>
      <c r="R41" s="15">
        <f t="shared" si="2"/>
        <v>29881</v>
      </c>
      <c r="S41" s="15">
        <f t="shared" si="6"/>
        <v>29701</v>
      </c>
      <c r="T41" s="15">
        <f t="shared" si="3"/>
        <v>19045</v>
      </c>
      <c r="U41" s="16">
        <f t="shared" si="7"/>
        <v>-20152.034333733791</v>
      </c>
      <c r="V41" s="16">
        <f t="shared" si="8"/>
        <v>-21575.686458932236</v>
      </c>
      <c r="W41" s="17">
        <f t="shared" si="0"/>
        <v>-0.16608266637544405</v>
      </c>
      <c r="X41" s="17">
        <f t="shared" si="1"/>
        <v>-0.16741042406267673</v>
      </c>
    </row>
    <row r="42" spans="14:24" x14ac:dyDescent="0.3">
      <c r="N42" s="10"/>
      <c r="O42" s="10"/>
      <c r="P42" s="10"/>
      <c r="Q42" s="11"/>
      <c r="R42" s="15">
        <f t="shared" si="2"/>
        <v>30711</v>
      </c>
      <c r="S42" s="15">
        <f t="shared" si="6"/>
        <v>30526</v>
      </c>
      <c r="T42" s="15">
        <f t="shared" si="3"/>
        <v>19574</v>
      </c>
      <c r="U42" s="16">
        <f t="shared" si="7"/>
        <v>22194.049417789556</v>
      </c>
      <c r="V42" s="16">
        <f t="shared" si="8"/>
        <v>21075.54638921994</v>
      </c>
      <c r="W42" s="17">
        <f t="shared" si="0"/>
        <v>0.17838576849789123</v>
      </c>
      <c r="X42" s="17">
        <f t="shared" si="1"/>
        <v>0.15883772002396451</v>
      </c>
    </row>
    <row r="43" spans="14:24" x14ac:dyDescent="0.3">
      <c r="N43" s="10"/>
      <c r="O43" s="10"/>
      <c r="P43" s="10"/>
      <c r="Q43" s="11"/>
      <c r="R43" s="15">
        <f t="shared" si="2"/>
        <v>31541</v>
      </c>
      <c r="S43" s="15">
        <f t="shared" si="6"/>
        <v>31351</v>
      </c>
      <c r="T43" s="15">
        <f t="shared" si="3"/>
        <v>20103</v>
      </c>
      <c r="U43" s="16">
        <f t="shared" si="7"/>
        <v>-24376.344251502782</v>
      </c>
      <c r="V43" s="16">
        <f t="shared" si="8"/>
        <v>-19937.516116929604</v>
      </c>
      <c r="W43" s="17">
        <f t="shared" si="0"/>
        <v>-0.20044573603572746</v>
      </c>
      <c r="X43" s="17">
        <f t="shared" si="1"/>
        <v>-0.15487971866246245</v>
      </c>
    </row>
    <row r="44" spans="14:24" x14ac:dyDescent="0.3">
      <c r="N44" s="10"/>
      <c r="O44" s="10"/>
      <c r="P44" s="10"/>
      <c r="Q44" s="11"/>
      <c r="R44" s="15">
        <f t="shared" si="2"/>
        <v>32371</v>
      </c>
      <c r="S44" s="15">
        <f t="shared" si="6"/>
        <v>32176</v>
      </c>
      <c r="T44" s="15">
        <f t="shared" si="3"/>
        <v>20632</v>
      </c>
      <c r="U44" s="16">
        <f t="shared" si="7"/>
        <v>26012.699700565798</v>
      </c>
      <c r="V44" s="16">
        <f t="shared" si="8"/>
        <v>18651.618190549601</v>
      </c>
      <c r="W44" s="17">
        <f t="shared" si="0"/>
        <v>0.20944895946390898</v>
      </c>
      <c r="X44" s="17">
        <f t="shared" si="1"/>
        <v>0.14029658947726018</v>
      </c>
    </row>
    <row r="45" spans="14:24" x14ac:dyDescent="0.3">
      <c r="N45" s="11"/>
      <c r="O45" s="11"/>
      <c r="P45" s="11"/>
      <c r="Q45" s="11"/>
      <c r="R45" s="15">
        <f t="shared" si="2"/>
        <v>33201</v>
      </c>
      <c r="S45" s="15">
        <f t="shared" si="6"/>
        <v>33001</v>
      </c>
      <c r="T45" s="15">
        <f t="shared" si="3"/>
        <v>21161</v>
      </c>
      <c r="U45" s="16">
        <f t="shared" si="7"/>
        <v>-27804.141307559017</v>
      </c>
      <c r="V45" s="16">
        <f t="shared" si="8"/>
        <v>-17688.203849952242</v>
      </c>
      <c r="W45" s="17">
        <f t="shared" si="0"/>
        <v>-0.22832949250991713</v>
      </c>
      <c r="X45" s="17">
        <f t="shared" si="1"/>
        <v>-0.13767426166699198</v>
      </c>
    </row>
    <row r="46" spans="14:24" x14ac:dyDescent="0.3">
      <c r="N46" s="11"/>
      <c r="O46" s="11"/>
      <c r="P46" s="11"/>
      <c r="Q46" s="11"/>
      <c r="R46" s="15">
        <f t="shared" si="2"/>
        <v>34031</v>
      </c>
      <c r="S46" s="15">
        <f t="shared" si="6"/>
        <v>33826</v>
      </c>
      <c r="T46" s="15">
        <f t="shared" si="3"/>
        <v>21690</v>
      </c>
      <c r="U46" s="16">
        <f t="shared" si="7"/>
        <v>29931.094749644075</v>
      </c>
      <c r="V46" s="16">
        <f t="shared" si="8"/>
        <v>16193.203662298414</v>
      </c>
      <c r="W46" s="17">
        <f t="shared" si="0"/>
        <v>0.24132353416346108</v>
      </c>
      <c r="X46" s="17">
        <f t="shared" si="1"/>
        <v>0.12149166582843925</v>
      </c>
    </row>
    <row r="47" spans="14:24" x14ac:dyDescent="0.3">
      <c r="N47" s="11"/>
      <c r="O47" s="11"/>
      <c r="P47" s="11"/>
      <c r="Q47" s="11"/>
      <c r="R47" s="15">
        <f t="shared" si="2"/>
        <v>34861</v>
      </c>
      <c r="S47" s="15">
        <f t="shared" si="6"/>
        <v>34651</v>
      </c>
      <c r="T47" s="15">
        <f t="shared" si="3"/>
        <v>22219</v>
      </c>
      <c r="U47" s="16">
        <f t="shared" si="7"/>
        <v>-31489.067601493196</v>
      </c>
      <c r="V47" s="16">
        <f t="shared" si="8"/>
        <v>-14291.310531390285</v>
      </c>
      <c r="W47" s="17">
        <f t="shared" si="0"/>
        <v>-0.25830489237317944</v>
      </c>
      <c r="X47" s="17">
        <f t="shared" si="1"/>
        <v>-0.11169071871087873</v>
      </c>
    </row>
    <row r="48" spans="14:24" x14ac:dyDescent="0.3">
      <c r="N48" s="11"/>
      <c r="O48" s="11"/>
      <c r="P48" s="11"/>
      <c r="Q48" s="11"/>
      <c r="R48" s="15">
        <f t="shared" si="2"/>
        <v>35691</v>
      </c>
      <c r="S48" s="15">
        <f t="shared" si="6"/>
        <v>35476</v>
      </c>
      <c r="T48" s="15">
        <f t="shared" si="3"/>
        <v>22748</v>
      </c>
      <c r="U48" s="16">
        <f t="shared" si="7"/>
        <v>32902.736779265368</v>
      </c>
      <c r="V48" s="16">
        <f t="shared" si="8"/>
        <v>12797.041663350121</v>
      </c>
      <c r="W48" s="17">
        <f t="shared" si="0"/>
        <v>0.26549665215363755</v>
      </c>
      <c r="X48" s="17">
        <f t="shared" si="1"/>
        <v>9.5513716888038072E-2</v>
      </c>
    </row>
    <row r="49" spans="14:24" x14ac:dyDescent="0.3">
      <c r="N49" s="11"/>
      <c r="O49" s="11"/>
      <c r="P49" s="11"/>
      <c r="Q49" s="11"/>
      <c r="R49" s="15">
        <f t="shared" si="2"/>
        <v>36521</v>
      </c>
      <c r="S49" s="15">
        <f t="shared" si="6"/>
        <v>36301</v>
      </c>
      <c r="T49" s="15">
        <f t="shared" si="3"/>
        <v>23277</v>
      </c>
      <c r="U49" s="16">
        <f t="shared" si="7"/>
        <v>-34778.937891571091</v>
      </c>
      <c r="V49" s="16">
        <f t="shared" si="8"/>
        <v>-11003.388247238772</v>
      </c>
      <c r="W49" s="17">
        <f t="shared" si="0"/>
        <v>-0.28506666983550855</v>
      </c>
      <c r="X49" s="17">
        <f t="shared" si="1"/>
        <v>-8.6540717843974962E-2</v>
      </c>
    </row>
    <row r="50" spans="14:24" x14ac:dyDescent="0.3">
      <c r="N50" s="11"/>
      <c r="O50" s="11"/>
      <c r="P50" s="11"/>
      <c r="Q50" s="11"/>
      <c r="R50" s="15">
        <f t="shared" si="2"/>
        <v>37351</v>
      </c>
      <c r="S50" s="15">
        <f t="shared" si="6"/>
        <v>37126</v>
      </c>
      <c r="T50" s="15">
        <f t="shared" si="3"/>
        <v>23806</v>
      </c>
      <c r="U50" s="16">
        <f t="shared" si="7"/>
        <v>36199.933774137091</v>
      </c>
      <c r="V50" s="16">
        <f t="shared" si="8"/>
        <v>8577.8098016914373</v>
      </c>
      <c r="W50" s="17">
        <f t="shared" si="0"/>
        <v>0.29231802942566609</v>
      </c>
      <c r="X50" s="17">
        <f t="shared" si="1"/>
        <v>6.3239935512524895E-2</v>
      </c>
    </row>
    <row r="51" spans="14:24" x14ac:dyDescent="0.3">
      <c r="N51" s="11"/>
      <c r="O51" s="11"/>
      <c r="P51" s="11"/>
      <c r="Q51" s="11"/>
      <c r="R51" s="15">
        <f t="shared" si="2"/>
        <v>38181</v>
      </c>
      <c r="S51" s="15">
        <f t="shared" si="6"/>
        <v>37951</v>
      </c>
      <c r="T51" s="15">
        <f t="shared" si="3"/>
        <v>24335</v>
      </c>
      <c r="U51" s="16">
        <f t="shared" si="7"/>
        <v>-37154.363055352456</v>
      </c>
      <c r="V51" s="16">
        <f t="shared" si="8"/>
        <v>-6515.2478815110735</v>
      </c>
      <c r="W51" s="17">
        <f t="shared" si="0"/>
        <v>-0.30438980236242297</v>
      </c>
      <c r="X51" s="17">
        <f t="shared" si="1"/>
        <v>-5.2209999434684295E-2</v>
      </c>
    </row>
    <row r="52" spans="14:24" x14ac:dyDescent="0.3">
      <c r="N52" s="11"/>
      <c r="O52" s="11"/>
      <c r="P52" s="11"/>
      <c r="Q52" s="11"/>
      <c r="R52" s="15">
        <f t="shared" si="2"/>
        <v>39011</v>
      </c>
      <c r="S52" s="15">
        <f t="shared" si="6"/>
        <v>38776</v>
      </c>
      <c r="T52" s="15">
        <f t="shared" si="3"/>
        <v>24864</v>
      </c>
      <c r="U52" s="16">
        <f t="shared" si="7"/>
        <v>38575.727117626629</v>
      </c>
      <c r="V52" s="16">
        <f t="shared" si="8"/>
        <v>4467.4408928289895</v>
      </c>
      <c r="W52" s="17">
        <f t="shared" si="0"/>
        <v>0.31164415694707803</v>
      </c>
      <c r="X52" s="17">
        <f t="shared" si="1"/>
        <v>3.1798869487491957E-2</v>
      </c>
    </row>
    <row r="53" spans="14:24" x14ac:dyDescent="0.3">
      <c r="N53" s="11"/>
      <c r="O53" s="11"/>
      <c r="P53" s="11"/>
      <c r="Q53" s="11"/>
      <c r="R53" s="15">
        <f t="shared" si="2"/>
        <v>39841</v>
      </c>
      <c r="S53" s="15">
        <f t="shared" si="6"/>
        <v>39601</v>
      </c>
      <c r="T53" s="15">
        <f t="shared" si="3"/>
        <v>25393</v>
      </c>
      <c r="U53" s="16">
        <f t="shared" si="7"/>
        <v>-39772.360652929536</v>
      </c>
      <c r="V53" s="16">
        <f t="shared" si="8"/>
        <v>-1666.0498762319589</v>
      </c>
      <c r="W53" s="17">
        <f t="shared" si="0"/>
        <v>-0.32568616450611437</v>
      </c>
      <c r="X53" s="17">
        <f t="shared" si="1"/>
        <v>-1.511747610333364E-2</v>
      </c>
    </row>
    <row r="54" spans="14:24" x14ac:dyDescent="0.3">
      <c r="N54" s="11"/>
      <c r="O54" s="11"/>
      <c r="P54" s="11"/>
      <c r="Q54" s="11"/>
      <c r="R54" s="15">
        <f t="shared" si="2"/>
        <v>40671</v>
      </c>
      <c r="S54" s="15">
        <f t="shared" si="6"/>
        <v>40426</v>
      </c>
      <c r="T54" s="15">
        <f t="shared" si="3"/>
        <v>25922</v>
      </c>
      <c r="U54" s="16">
        <f t="shared" si="7"/>
        <v>40233.953830345083</v>
      </c>
      <c r="V54" s="16">
        <f t="shared" si="8"/>
        <v>-950.08703223570046</v>
      </c>
      <c r="W54" s="17">
        <f t="shared" si="0"/>
        <v>0.32513316725903474</v>
      </c>
      <c r="X54" s="17">
        <f t="shared" si="1"/>
        <v>-9.6409275139792659E-3</v>
      </c>
    </row>
    <row r="55" spans="14:24" x14ac:dyDescent="0.3">
      <c r="N55" s="11"/>
      <c r="O55" s="11"/>
      <c r="P55" s="11"/>
      <c r="Q55" s="11"/>
      <c r="R55" s="15">
        <f t="shared" si="2"/>
        <v>41501</v>
      </c>
      <c r="S55" s="15">
        <f t="shared" si="6"/>
        <v>41251</v>
      </c>
      <c r="T55" s="15">
        <f t="shared" si="3"/>
        <v>26451</v>
      </c>
      <c r="U55" s="16">
        <f t="shared" si="7"/>
        <v>-41017.402002690556</v>
      </c>
      <c r="V55" s="16">
        <f t="shared" si="8"/>
        <v>3226.2466425155994</v>
      </c>
      <c r="W55" s="17">
        <f t="shared" si="0"/>
        <v>-0.335814077340305</v>
      </c>
      <c r="X55" s="17">
        <f t="shared" si="1"/>
        <v>2.2304716714524764E-2</v>
      </c>
    </row>
    <row r="56" spans="14:24" x14ac:dyDescent="0.3">
      <c r="N56" s="11"/>
      <c r="O56" s="11"/>
      <c r="P56" s="11"/>
      <c r="Q56" s="11"/>
      <c r="R56" s="15">
        <f t="shared" si="2"/>
        <v>42331</v>
      </c>
      <c r="S56" s="15">
        <f t="shared" si="6"/>
        <v>42076</v>
      </c>
      <c r="T56" s="15">
        <f t="shared" si="3"/>
        <v>26980</v>
      </c>
      <c r="U56" s="16">
        <f t="shared" si="7"/>
        <v>41868.243788870837</v>
      </c>
      <c r="V56" s="16">
        <f t="shared" si="8"/>
        <v>-6222.5710857322301</v>
      </c>
      <c r="W56" s="17">
        <f t="shared" si="0"/>
        <v>0.33842746166051701</v>
      </c>
      <c r="X56" s="17">
        <f t="shared" si="1"/>
        <v>-4.9971253797951559E-2</v>
      </c>
    </row>
    <row r="57" spans="14:24" x14ac:dyDescent="0.3">
      <c r="N57" s="11"/>
      <c r="O57" s="11"/>
      <c r="P57" s="11"/>
      <c r="Q57" s="11"/>
      <c r="R57" s="15">
        <f t="shared" si="2"/>
        <v>43161</v>
      </c>
      <c r="S57" s="15">
        <f t="shared" si="6"/>
        <v>42901</v>
      </c>
      <c r="T57" s="15">
        <f t="shared" si="3"/>
        <v>27509</v>
      </c>
      <c r="U57" s="16">
        <f t="shared" si="7"/>
        <v>-41841.619532411729</v>
      </c>
      <c r="V57" s="16">
        <f t="shared" si="8"/>
        <v>9309.1125973023427</v>
      </c>
      <c r="W57" s="17">
        <f t="shared" si="0"/>
        <v>-0.34251875690699585</v>
      </c>
      <c r="X57" s="17">
        <f t="shared" si="1"/>
        <v>6.8833822579819057E-2</v>
      </c>
    </row>
    <row r="58" spans="14:24" x14ac:dyDescent="0.3">
      <c r="N58" s="11"/>
      <c r="O58" s="11"/>
      <c r="P58" s="11"/>
      <c r="Q58" s="11"/>
      <c r="R58" s="15">
        <f t="shared" si="2"/>
        <v>43991</v>
      </c>
      <c r="S58" s="15">
        <f t="shared" si="6"/>
        <v>43726</v>
      </c>
      <c r="T58" s="15">
        <f t="shared" si="3"/>
        <v>28038</v>
      </c>
      <c r="U58" s="16">
        <f t="shared" si="7"/>
        <v>41854.388669740751</v>
      </c>
      <c r="V58" s="16">
        <f t="shared" si="8"/>
        <v>-11800.296665208578</v>
      </c>
      <c r="W58" s="17">
        <f t="shared" si="0"/>
        <v>0.33831475581433462</v>
      </c>
      <c r="X58" s="17">
        <f t="shared" si="1"/>
        <v>-9.2636435951240284E-2</v>
      </c>
    </row>
    <row r="59" spans="14:24" x14ac:dyDescent="0.3">
      <c r="N59" s="11"/>
      <c r="O59" s="11"/>
      <c r="P59" s="11"/>
      <c r="Q59" s="11"/>
      <c r="R59" s="15">
        <f t="shared" si="2"/>
        <v>44821</v>
      </c>
      <c r="S59" s="15">
        <f t="shared" si="6"/>
        <v>44551</v>
      </c>
      <c r="T59" s="15">
        <f t="shared" si="3"/>
        <v>28567</v>
      </c>
      <c r="U59" s="16">
        <f t="shared" si="7"/>
        <v>-42210.293080074254</v>
      </c>
      <c r="V59" s="16">
        <f t="shared" si="8"/>
        <v>14805.938736687771</v>
      </c>
      <c r="W59" s="17">
        <f t="shared" si="0"/>
        <v>-0.34551776859099703</v>
      </c>
      <c r="X59" s="17">
        <f t="shared" si="1"/>
        <v>0.11088018810285287</v>
      </c>
    </row>
    <row r="60" spans="14:24" x14ac:dyDescent="0.3">
      <c r="N60" s="11"/>
      <c r="O60" s="11"/>
      <c r="P60" s="11"/>
      <c r="Q60" s="11"/>
      <c r="R60" s="15">
        <f t="shared" si="2"/>
        <v>45651</v>
      </c>
      <c r="S60" s="15">
        <f t="shared" si="6"/>
        <v>45376</v>
      </c>
      <c r="T60" s="15">
        <f t="shared" si="3"/>
        <v>29096</v>
      </c>
      <c r="U60" s="16">
        <f t="shared" si="7"/>
        <v>41719.844892809408</v>
      </c>
      <c r="V60" s="16">
        <f t="shared" si="8"/>
        <v>-18206.318609005226</v>
      </c>
      <c r="W60" s="17">
        <f t="shared" si="0"/>
        <v>0.33722029606373682</v>
      </c>
      <c r="X60" s="17">
        <f t="shared" si="1"/>
        <v>-0.14163742913665767</v>
      </c>
    </row>
    <row r="61" spans="14:24" x14ac:dyDescent="0.3">
      <c r="N61" s="11"/>
      <c r="O61" s="11"/>
      <c r="P61" s="11"/>
      <c r="Q61" s="11"/>
      <c r="R61" s="15">
        <f t="shared" si="2"/>
        <v>46481</v>
      </c>
      <c r="S61" s="15">
        <f t="shared" si="6"/>
        <v>46201</v>
      </c>
      <c r="T61" s="15">
        <f t="shared" si="3"/>
        <v>29625</v>
      </c>
      <c r="U61" s="16">
        <f t="shared" si="7"/>
        <v>-40901.535327496822</v>
      </c>
      <c r="V61" s="16">
        <f t="shared" si="8"/>
        <v>20895.459495384792</v>
      </c>
      <c r="W61" s="17">
        <f t="shared" si="0"/>
        <v>-0.33487154833355764</v>
      </c>
      <c r="X61" s="17">
        <f t="shared" si="1"/>
        <v>0.15746019794629754</v>
      </c>
    </row>
    <row r="62" spans="14:24" x14ac:dyDescent="0.3">
      <c r="N62" s="11"/>
      <c r="O62" s="11"/>
      <c r="P62" s="11"/>
      <c r="Q62" s="11"/>
      <c r="R62" s="15">
        <f t="shared" si="2"/>
        <v>47311</v>
      </c>
      <c r="S62" s="15">
        <f t="shared" si="6"/>
        <v>47026</v>
      </c>
      <c r="T62" s="15">
        <f t="shared" si="3"/>
        <v>30154</v>
      </c>
      <c r="U62" s="16">
        <f t="shared" si="7"/>
        <v>40604.367271040435</v>
      </c>
      <c r="V62" s="16">
        <f t="shared" si="8"/>
        <v>-23747.25646040338</v>
      </c>
      <c r="W62" s="17">
        <f t="shared" si="0"/>
        <v>0.32814633227616069</v>
      </c>
      <c r="X62" s="17">
        <f t="shared" si="1"/>
        <v>-0.18402121431243335</v>
      </c>
    </row>
    <row r="63" spans="14:24" x14ac:dyDescent="0.3">
      <c r="N63" s="11"/>
      <c r="O63" s="11"/>
      <c r="P63" s="11"/>
      <c r="Q63" s="11"/>
      <c r="R63" s="15">
        <f t="shared" si="2"/>
        <v>48141</v>
      </c>
      <c r="S63" s="15">
        <f t="shared" si="6"/>
        <v>47851</v>
      </c>
      <c r="T63" s="15">
        <f t="shared" si="3"/>
        <v>30683</v>
      </c>
      <c r="U63" s="16">
        <f t="shared" si="7"/>
        <v>-39672.719619835872</v>
      </c>
      <c r="V63" s="16">
        <f t="shared" si="8"/>
        <v>27241.17779359057</v>
      </c>
      <c r="W63" s="17">
        <f t="shared" si="0"/>
        <v>-0.32487562460069275</v>
      </c>
      <c r="X63" s="17">
        <f t="shared" si="1"/>
        <v>0.20599991601393053</v>
      </c>
    </row>
    <row r="64" spans="14:24" x14ac:dyDescent="0.3">
      <c r="N64" s="11"/>
      <c r="O64" s="11"/>
      <c r="P64" s="11"/>
      <c r="Q64" s="11"/>
      <c r="R64" s="15">
        <f t="shared" si="2"/>
        <v>48971</v>
      </c>
      <c r="S64" s="15">
        <f t="shared" si="6"/>
        <v>48676</v>
      </c>
      <c r="T64" s="15">
        <f t="shared" si="3"/>
        <v>31212</v>
      </c>
      <c r="U64" s="16">
        <f t="shared" si="7"/>
        <v>38044.493175462943</v>
      </c>
      <c r="V64" s="16">
        <f t="shared" si="8"/>
        <v>-30085.641655835458</v>
      </c>
      <c r="W64" s="17">
        <f t="shared" si="0"/>
        <v>0.3073227815471124</v>
      </c>
      <c r="X64" s="17">
        <f t="shared" si="1"/>
        <v>-0.23250483995294158</v>
      </c>
    </row>
    <row r="65" spans="14:24" x14ac:dyDescent="0.3">
      <c r="N65" s="11"/>
      <c r="O65" s="11"/>
      <c r="P65" s="11"/>
      <c r="Q65" s="11"/>
      <c r="R65" s="15">
        <f t="shared" si="2"/>
        <v>49801</v>
      </c>
      <c r="S65" s="15">
        <f t="shared" si="6"/>
        <v>49501</v>
      </c>
      <c r="T65" s="15">
        <f t="shared" si="3"/>
        <v>31741</v>
      </c>
      <c r="U65" s="16">
        <f t="shared" si="7"/>
        <v>-36955.500553964586</v>
      </c>
      <c r="V65" s="16">
        <f t="shared" si="8"/>
        <v>32662.208727326648</v>
      </c>
      <c r="W65" s="17">
        <f t="shared" si="0"/>
        <v>-0.30277213554321886</v>
      </c>
      <c r="X65" s="17">
        <f t="shared" si="1"/>
        <v>0.24746650825674515</v>
      </c>
    </row>
    <row r="66" spans="14:24" x14ac:dyDescent="0.3">
      <c r="N66" s="11"/>
      <c r="O66" s="11"/>
      <c r="P66" s="11"/>
      <c r="Q66" s="11"/>
      <c r="R66" s="15">
        <f t="shared" si="2"/>
        <v>50631</v>
      </c>
      <c r="S66" s="15">
        <f t="shared" si="6"/>
        <v>50326</v>
      </c>
      <c r="T66" s="15">
        <f t="shared" si="3"/>
        <v>32270</v>
      </c>
      <c r="U66" s="16">
        <f t="shared" si="7"/>
        <v>35585.746265568188</v>
      </c>
      <c r="V66" s="16">
        <f t="shared" si="8"/>
        <v>-35989.662305895494</v>
      </c>
      <c r="W66" s="17">
        <f t="shared" si="0"/>
        <v>0.28732185997970472</v>
      </c>
      <c r="X66" s="17">
        <f t="shared" si="1"/>
        <v>-0.27766592091369374</v>
      </c>
    </row>
    <row r="67" spans="14:24" x14ac:dyDescent="0.3">
      <c r="N67" s="11"/>
      <c r="O67" s="11"/>
      <c r="P67" s="11"/>
      <c r="Q67" s="11"/>
      <c r="R67" s="15">
        <f t="shared" si="2"/>
        <v>51461</v>
      </c>
      <c r="S67" s="15">
        <f t="shared" si="6"/>
        <v>51151</v>
      </c>
      <c r="T67" s="15">
        <f t="shared" si="3"/>
        <v>32799</v>
      </c>
      <c r="U67" s="16">
        <f t="shared" si="7"/>
        <v>-33243.997750895382</v>
      </c>
      <c r="V67" s="16">
        <f t="shared" si="8"/>
        <v>38900.426787366567</v>
      </c>
      <c r="W67" s="17">
        <f t="shared" si="0"/>
        <v>-0.27258054642005108</v>
      </c>
      <c r="X67" s="17">
        <f t="shared" si="1"/>
        <v>0.2951839346613131</v>
      </c>
    </row>
    <row r="68" spans="14:24" x14ac:dyDescent="0.3">
      <c r="N68" s="11"/>
      <c r="O68" s="11"/>
      <c r="P68" s="11"/>
      <c r="Q68" s="11"/>
      <c r="R68" s="15">
        <f t="shared" si="2"/>
        <v>52291</v>
      </c>
      <c r="S68" s="15">
        <f t="shared" si="6"/>
        <v>51976</v>
      </c>
      <c r="T68" s="15">
        <f t="shared" si="3"/>
        <v>33328</v>
      </c>
      <c r="U68" s="16">
        <f t="shared" si="7"/>
        <v>31275.928037121768</v>
      </c>
      <c r="V68" s="16">
        <f t="shared" si="8"/>
        <v>-41128.708776770742</v>
      </c>
      <c r="W68" s="17">
        <f t="shared" si="0"/>
        <v>0.25226321445175548</v>
      </c>
      <c r="X68" s="17">
        <f t="shared" si="1"/>
        <v>-0.31697555539640931</v>
      </c>
    </row>
    <row r="69" spans="14:24" x14ac:dyDescent="0.3">
      <c r="N69" s="11"/>
      <c r="O69" s="11"/>
      <c r="P69" s="11"/>
      <c r="Q69" s="11"/>
      <c r="R69" s="15">
        <f t="shared" si="2"/>
        <v>53121</v>
      </c>
      <c r="S69" s="15">
        <f t="shared" si="6"/>
        <v>52801</v>
      </c>
      <c r="T69" s="15">
        <f t="shared" si="3"/>
        <v>33857</v>
      </c>
      <c r="U69" s="16">
        <f t="shared" si="7"/>
        <v>-29443.8413186445</v>
      </c>
      <c r="V69" s="16">
        <f t="shared" si="8"/>
        <v>44024.331115215296</v>
      </c>
      <c r="W69" s="17">
        <f t="shared" ref="W69:W132" si="9">(U69-$W$1)/$W$2</f>
        <v>-0.24166779552265058</v>
      </c>
      <c r="X69" s="17">
        <f t="shared" ref="X69:X132" si="10">(V69-$X$1)/$X$2</f>
        <v>0.33437774374508916</v>
      </c>
    </row>
    <row r="70" spans="14:24" x14ac:dyDescent="0.3">
      <c r="N70" s="11"/>
      <c r="O70" s="11"/>
      <c r="P70" s="11"/>
      <c r="Q70" s="11"/>
      <c r="R70" s="15">
        <f t="shared" ref="R70:R133" si="11">R69+a_inc</f>
        <v>53951</v>
      </c>
      <c r="S70" s="15">
        <f t="shared" si="6"/>
        <v>53626</v>
      </c>
      <c r="T70" s="15">
        <f t="shared" ref="T70:T133" si="12">T69+t_inc</f>
        <v>34386</v>
      </c>
      <c r="U70" s="16">
        <f t="shared" si="7"/>
        <v>26539.490477373165</v>
      </c>
      <c r="V70" s="16">
        <f t="shared" si="8"/>
        <v>-46853.316383485151</v>
      </c>
      <c r="W70" s="17">
        <f t="shared" si="9"/>
        <v>0.213734191492857</v>
      </c>
      <c r="X70" s="17">
        <f t="shared" si="10"/>
        <v>-0.3607642687019324</v>
      </c>
    </row>
    <row r="71" spans="14:24" x14ac:dyDescent="0.3">
      <c r="N71" s="11"/>
      <c r="O71" s="11"/>
      <c r="P71" s="11"/>
      <c r="Q71" s="11"/>
      <c r="R71" s="15">
        <f t="shared" si="11"/>
        <v>54781</v>
      </c>
      <c r="S71" s="15">
        <f t="shared" ref="S71:S134" si="13">S70+b_inc</f>
        <v>54451</v>
      </c>
      <c r="T71" s="15">
        <f t="shared" si="12"/>
        <v>34915</v>
      </c>
      <c r="U71" s="16">
        <f t="shared" si="7"/>
        <v>-23684.741241167314</v>
      </c>
      <c r="V71" s="16">
        <f t="shared" si="8"/>
        <v>48700.794947748705</v>
      </c>
      <c r="W71" s="17">
        <f t="shared" si="9"/>
        <v>-0.19481982248202426</v>
      </c>
      <c r="X71" s="17">
        <f t="shared" si="10"/>
        <v>0.37014898749047193</v>
      </c>
    </row>
    <row r="72" spans="14:24" x14ac:dyDescent="0.3">
      <c r="N72" s="11"/>
      <c r="O72" s="11"/>
      <c r="P72" s="11"/>
      <c r="Q72" s="11"/>
      <c r="R72" s="15">
        <f t="shared" si="11"/>
        <v>55611</v>
      </c>
      <c r="S72" s="15">
        <f t="shared" si="13"/>
        <v>55276</v>
      </c>
      <c r="T72" s="15">
        <f t="shared" si="12"/>
        <v>35444</v>
      </c>
      <c r="U72" s="16">
        <f t="shared" si="7"/>
        <v>21344.644076713397</v>
      </c>
      <c r="V72" s="16">
        <f t="shared" si="8"/>
        <v>-50931.564253851968</v>
      </c>
      <c r="W72" s="17">
        <f t="shared" si="9"/>
        <v>0.17147619617166565</v>
      </c>
      <c r="X72" s="17">
        <f t="shared" si="10"/>
        <v>-0.39195963422792829</v>
      </c>
    </row>
    <row r="73" spans="14:24" x14ac:dyDescent="0.3">
      <c r="N73" s="10"/>
      <c r="O73" s="10"/>
      <c r="P73" s="10"/>
      <c r="Q73" s="11"/>
      <c r="R73" s="15">
        <f t="shared" si="11"/>
        <v>56441</v>
      </c>
      <c r="S73" s="15">
        <f t="shared" si="13"/>
        <v>56101</v>
      </c>
      <c r="T73" s="15">
        <f t="shared" si="12"/>
        <v>35973</v>
      </c>
      <c r="U73" s="16">
        <f t="shared" si="7"/>
        <v>-18052.944037937006</v>
      </c>
      <c r="V73" s="16">
        <f t="shared" si="8"/>
        <v>53472.800662111717</v>
      </c>
      <c r="W73" s="17">
        <f t="shared" si="9"/>
        <v>-0.14900740734809861</v>
      </c>
      <c r="X73" s="17">
        <f t="shared" si="10"/>
        <v>0.40665105094604748</v>
      </c>
    </row>
    <row r="74" spans="14:24" x14ac:dyDescent="0.3">
      <c r="N74" s="10"/>
      <c r="O74" s="10"/>
      <c r="P74" s="10"/>
      <c r="Q74" s="11"/>
      <c r="R74" s="15">
        <f t="shared" si="11"/>
        <v>57271</v>
      </c>
      <c r="S74" s="15">
        <f t="shared" si="13"/>
        <v>56926</v>
      </c>
      <c r="T74" s="15">
        <f t="shared" si="12"/>
        <v>36502</v>
      </c>
      <c r="U74" s="16">
        <f t="shared" si="7"/>
        <v>14400.17326843063</v>
      </c>
      <c r="V74" s="16">
        <f t="shared" si="8"/>
        <v>-54927.74889722449</v>
      </c>
      <c r="W74" s="17">
        <f t="shared" si="9"/>
        <v>0.11498570688842288</v>
      </c>
      <c r="X74" s="17">
        <f t="shared" si="10"/>
        <v>-0.42252728107578036</v>
      </c>
    </row>
    <row r="75" spans="14:24" x14ac:dyDescent="0.3">
      <c r="N75" s="10"/>
      <c r="O75" s="10"/>
      <c r="P75" s="10"/>
      <c r="Q75" s="11"/>
      <c r="R75" s="15">
        <f t="shared" si="11"/>
        <v>58101</v>
      </c>
      <c r="S75" s="15">
        <f t="shared" si="13"/>
        <v>57751</v>
      </c>
      <c r="T75" s="15">
        <f t="shared" si="12"/>
        <v>37031</v>
      </c>
      <c r="U75" s="16">
        <f t="shared" si="7"/>
        <v>-11504.372682836638</v>
      </c>
      <c r="V75" s="16">
        <f t="shared" si="8"/>
        <v>56325.665800063049</v>
      </c>
      <c r="W75" s="17">
        <f t="shared" si="9"/>
        <v>-9.5737401588318505E-2</v>
      </c>
      <c r="X75" s="17">
        <f t="shared" si="10"/>
        <v>0.4284732092855203</v>
      </c>
    </row>
    <row r="76" spans="14:24" x14ac:dyDescent="0.3">
      <c r="N76" s="10"/>
      <c r="O76" s="10"/>
      <c r="P76" s="10"/>
      <c r="Q76" s="11"/>
      <c r="R76" s="15">
        <f t="shared" si="11"/>
        <v>58931</v>
      </c>
      <c r="S76" s="15">
        <f t="shared" si="13"/>
        <v>58576</v>
      </c>
      <c r="T76" s="15">
        <f t="shared" si="12"/>
        <v>37560</v>
      </c>
      <c r="U76" s="16">
        <f t="shared" si="7"/>
        <v>7992.780084593528</v>
      </c>
      <c r="V76" s="16">
        <f t="shared" si="8"/>
        <v>-58332.77749503067</v>
      </c>
      <c r="W76" s="17">
        <f t="shared" si="9"/>
        <v>6.2864129020551121E-2</v>
      </c>
      <c r="X76" s="17">
        <f t="shared" si="10"/>
        <v>-0.44857305247355445</v>
      </c>
    </row>
    <row r="77" spans="14:24" x14ac:dyDescent="0.3">
      <c r="N77" s="10"/>
      <c r="O77" s="10"/>
      <c r="P77" s="10"/>
      <c r="Q77" s="11"/>
      <c r="R77" s="15">
        <f t="shared" si="11"/>
        <v>59761</v>
      </c>
      <c r="S77" s="15">
        <f t="shared" si="13"/>
        <v>59401</v>
      </c>
      <c r="T77" s="15">
        <f t="shared" si="12"/>
        <v>38089</v>
      </c>
      <c r="U77" s="16">
        <f t="shared" si="7"/>
        <v>-3726.5916940833081</v>
      </c>
      <c r="V77" s="16">
        <f t="shared" si="8"/>
        <v>59378.485912682234</v>
      </c>
      <c r="W77" s="17">
        <f t="shared" si="9"/>
        <v>-3.2468267665466406E-2</v>
      </c>
      <c r="X77" s="17">
        <f t="shared" si="10"/>
        <v>0.45182486478205142</v>
      </c>
    </row>
    <row r="78" spans="14:24" x14ac:dyDescent="0.3">
      <c r="N78" s="10"/>
      <c r="O78" s="10"/>
      <c r="P78" s="10"/>
      <c r="Q78" s="11"/>
      <c r="R78" s="15">
        <f t="shared" si="11"/>
        <v>60591</v>
      </c>
      <c r="S78" s="15">
        <f t="shared" si="13"/>
        <v>60226</v>
      </c>
      <c r="T78" s="15">
        <f t="shared" si="12"/>
        <v>38618</v>
      </c>
      <c r="U78" s="16">
        <f t="shared" si="7"/>
        <v>254.26349636406977</v>
      </c>
      <c r="V78" s="16">
        <f t="shared" si="8"/>
        <v>-59860.645055977337</v>
      </c>
      <c r="W78" s="17">
        <f t="shared" si="9"/>
        <v>-8.5604726500505197E-5</v>
      </c>
      <c r="X78" s="17">
        <f t="shared" si="10"/>
        <v>-0.46026002897769619</v>
      </c>
    </row>
    <row r="79" spans="14:24" x14ac:dyDescent="0.3">
      <c r="N79" s="10"/>
      <c r="O79" s="10"/>
      <c r="P79" s="10"/>
      <c r="Q79" s="11"/>
      <c r="R79" s="15">
        <f t="shared" si="11"/>
        <v>61421</v>
      </c>
      <c r="S79" s="15">
        <f t="shared" si="13"/>
        <v>61051</v>
      </c>
      <c r="T79" s="15">
        <f t="shared" si="12"/>
        <v>39147</v>
      </c>
      <c r="U79" s="16">
        <f t="shared" si="7"/>
        <v>3343.3197125946008</v>
      </c>
      <c r="V79" s="16">
        <f t="shared" si="8"/>
        <v>61078.939622293823</v>
      </c>
      <c r="W79" s="17">
        <f t="shared" si="9"/>
        <v>2.5042630656125619E-2</v>
      </c>
      <c r="X79" s="17">
        <f t="shared" si="10"/>
        <v>0.46483198860520392</v>
      </c>
    </row>
    <row r="80" spans="14:24" x14ac:dyDescent="0.3">
      <c r="N80" s="10"/>
      <c r="O80" s="10"/>
      <c r="P80" s="10"/>
      <c r="Q80" s="11"/>
      <c r="R80" s="15">
        <f t="shared" si="11"/>
        <v>62251</v>
      </c>
      <c r="S80" s="15">
        <f t="shared" si="13"/>
        <v>61876</v>
      </c>
      <c r="T80" s="15">
        <f t="shared" si="12"/>
        <v>39676</v>
      </c>
      <c r="U80" s="16">
        <f t="shared" si="7"/>
        <v>-7961.2017991472867</v>
      </c>
      <c r="V80" s="16">
        <f t="shared" si="8"/>
        <v>-61669.939314113166</v>
      </c>
      <c r="W80" s="17">
        <f t="shared" si="9"/>
        <v>-6.6915125224938449E-2</v>
      </c>
      <c r="X80" s="17">
        <f t="shared" si="10"/>
        <v>-0.47409969677639624</v>
      </c>
    </row>
    <row r="81" spans="14:24" x14ac:dyDescent="0.3">
      <c r="N81" s="10"/>
      <c r="O81" s="10"/>
      <c r="P81" s="10"/>
      <c r="Q81" s="11"/>
      <c r="R81" s="15">
        <f t="shared" si="11"/>
        <v>63081</v>
      </c>
      <c r="S81" s="15">
        <f t="shared" si="13"/>
        <v>62701</v>
      </c>
      <c r="T81" s="15">
        <f t="shared" si="12"/>
        <v>40205</v>
      </c>
      <c r="U81" s="16">
        <f t="shared" si="7"/>
        <v>11973.031463291924</v>
      </c>
      <c r="V81" s="16">
        <f t="shared" si="8"/>
        <v>61241.196661477989</v>
      </c>
      <c r="W81" s="17">
        <f t="shared" si="9"/>
        <v>9.5241880192720577E-2</v>
      </c>
      <c r="X81" s="17">
        <f t="shared" si="10"/>
        <v>0.46607312641913984</v>
      </c>
    </row>
    <row r="82" spans="14:24" x14ac:dyDescent="0.3">
      <c r="N82" s="10"/>
      <c r="O82" s="10"/>
      <c r="P82" s="10"/>
      <c r="Q82" s="11"/>
      <c r="R82" s="15">
        <f t="shared" si="11"/>
        <v>63911</v>
      </c>
      <c r="S82" s="15">
        <f t="shared" si="13"/>
        <v>63526</v>
      </c>
      <c r="T82" s="15">
        <f t="shared" si="12"/>
        <v>40734</v>
      </c>
      <c r="U82" s="16">
        <f t="shared" si="7"/>
        <v>-15568.770848569578</v>
      </c>
      <c r="V82" s="16">
        <f t="shared" si="8"/>
        <v>-61448.54727143846</v>
      </c>
      <c r="W82" s="17">
        <f t="shared" si="9"/>
        <v>-0.12879965317850753</v>
      </c>
      <c r="X82" s="17">
        <f t="shared" si="10"/>
        <v>-0.47240622303097546</v>
      </c>
    </row>
    <row r="83" spans="14:24" x14ac:dyDescent="0.3">
      <c r="N83" s="10"/>
      <c r="O83" s="10"/>
      <c r="P83" s="10"/>
      <c r="Q83" s="11"/>
      <c r="R83" s="15">
        <f t="shared" si="11"/>
        <v>64741</v>
      </c>
      <c r="S83" s="15">
        <f t="shared" si="13"/>
        <v>64351</v>
      </c>
      <c r="T83" s="15">
        <f t="shared" si="12"/>
        <v>41263</v>
      </c>
      <c r="U83" s="16">
        <f t="shared" si="7"/>
        <v>20233.928876328762</v>
      </c>
      <c r="V83" s="16">
        <f t="shared" si="8"/>
        <v>61496.859745891416</v>
      </c>
      <c r="W83" s="17">
        <f t="shared" si="9"/>
        <v>0.1624409727750569</v>
      </c>
      <c r="X83" s="17">
        <f t="shared" si="10"/>
        <v>0.46802874648523041</v>
      </c>
    </row>
    <row r="84" spans="14:24" x14ac:dyDescent="0.3">
      <c r="N84" s="10"/>
      <c r="O84" s="10"/>
      <c r="P84" s="10"/>
      <c r="Q84" s="11"/>
      <c r="R84" s="15">
        <f t="shared" si="11"/>
        <v>65571</v>
      </c>
      <c r="S84" s="15">
        <f t="shared" si="13"/>
        <v>65176</v>
      </c>
      <c r="T84" s="15">
        <f t="shared" si="12"/>
        <v>41792</v>
      </c>
      <c r="U84" s="16">
        <f t="shared" si="7"/>
        <v>-24666.115505190966</v>
      </c>
      <c r="V84" s="16">
        <f t="shared" si="8"/>
        <v>-60234.512512980116</v>
      </c>
      <c r="W84" s="17">
        <f t="shared" si="9"/>
        <v>-0.20280290915272584</v>
      </c>
      <c r="X84" s="17">
        <f t="shared" si="10"/>
        <v>-0.46311981885565356</v>
      </c>
    </row>
    <row r="85" spans="14:24" x14ac:dyDescent="0.3">
      <c r="N85" s="10"/>
      <c r="O85" s="10"/>
      <c r="P85" s="10"/>
      <c r="Q85" s="11"/>
      <c r="R85" s="15">
        <f t="shared" si="11"/>
        <v>66401</v>
      </c>
      <c r="S85" s="15">
        <f t="shared" si="13"/>
        <v>66001</v>
      </c>
      <c r="T85" s="15">
        <f t="shared" si="12"/>
        <v>42321</v>
      </c>
      <c r="U85" s="16">
        <f t="shared" si="7"/>
        <v>28214.013404955345</v>
      </c>
      <c r="V85" s="16">
        <f t="shared" si="8"/>
        <v>59282.316453162981</v>
      </c>
      <c r="W85" s="17">
        <f t="shared" si="9"/>
        <v>0.22735576498731264</v>
      </c>
      <c r="X85" s="17">
        <f t="shared" si="10"/>
        <v>0.45108924459968353</v>
      </c>
    </row>
    <row r="86" spans="14:24" x14ac:dyDescent="0.3">
      <c r="N86" s="10"/>
      <c r="O86" s="10"/>
      <c r="P86" s="10"/>
      <c r="Q86" s="11"/>
      <c r="R86" s="15">
        <f t="shared" si="11"/>
        <v>67231</v>
      </c>
      <c r="S86" s="15">
        <f t="shared" si="13"/>
        <v>66826</v>
      </c>
      <c r="T86" s="15">
        <f t="shared" si="12"/>
        <v>42850</v>
      </c>
      <c r="U86" s="16">
        <f t="shared" si="7"/>
        <v>-32622.406056291584</v>
      </c>
      <c r="V86" s="16">
        <f t="shared" si="8"/>
        <v>-58659.529464062958</v>
      </c>
      <c r="W86" s="17">
        <f t="shared" si="9"/>
        <v>-0.26752414688551956</v>
      </c>
      <c r="X86" s="17">
        <f t="shared" si="10"/>
        <v>-0.45107244619220654</v>
      </c>
    </row>
    <row r="87" spans="14:24" x14ac:dyDescent="0.3">
      <c r="N87" s="10"/>
      <c r="O87" s="10"/>
      <c r="P87" s="10"/>
      <c r="Q87" s="11"/>
      <c r="R87" s="15">
        <f t="shared" si="11"/>
        <v>68061</v>
      </c>
      <c r="S87" s="15">
        <f t="shared" si="13"/>
        <v>67651</v>
      </c>
      <c r="T87" s="15">
        <f t="shared" si="12"/>
        <v>43379</v>
      </c>
      <c r="U87" s="16">
        <f t="shared" si="7"/>
        <v>37264.120480331883</v>
      </c>
      <c r="V87" s="16">
        <f t="shared" si="8"/>
        <v>56684.008991871604</v>
      </c>
      <c r="W87" s="17">
        <f t="shared" si="9"/>
        <v>0.30097476215322899</v>
      </c>
      <c r="X87" s="17">
        <f t="shared" si="10"/>
        <v>0.43121425083266257</v>
      </c>
    </row>
    <row r="88" spans="14:24" x14ac:dyDescent="0.3">
      <c r="N88" s="10"/>
      <c r="O88" s="10"/>
      <c r="P88" s="10"/>
      <c r="Q88" s="11"/>
      <c r="R88" s="15">
        <f t="shared" si="11"/>
        <v>68891</v>
      </c>
      <c r="S88" s="15">
        <f t="shared" si="13"/>
        <v>68476</v>
      </c>
      <c r="T88" s="15">
        <f t="shared" si="12"/>
        <v>43908</v>
      </c>
      <c r="U88" s="16">
        <f t="shared" si="7"/>
        <v>-40740.057742703793</v>
      </c>
      <c r="V88" s="16">
        <f t="shared" si="8"/>
        <v>-54528.665937954924</v>
      </c>
      <c r="W88" s="17">
        <f t="shared" si="9"/>
        <v>-0.33355799284098436</v>
      </c>
      <c r="X88" s="17">
        <f t="shared" si="10"/>
        <v>-0.41947461258054969</v>
      </c>
    </row>
    <row r="89" spans="14:24" x14ac:dyDescent="0.3">
      <c r="N89" s="10"/>
      <c r="O89" s="10"/>
      <c r="P89" s="10"/>
      <c r="Q89" s="11"/>
      <c r="R89" s="15">
        <f t="shared" si="11"/>
        <v>69721</v>
      </c>
      <c r="S89" s="15">
        <f t="shared" si="13"/>
        <v>69301</v>
      </c>
      <c r="T89" s="15">
        <f t="shared" si="12"/>
        <v>44437</v>
      </c>
      <c r="U89" s="16">
        <f t="shared" si="7"/>
        <v>44630.284686399755</v>
      </c>
      <c r="V89" s="16">
        <f t="shared" si="8"/>
        <v>53085.632150116151</v>
      </c>
      <c r="W89" s="17">
        <f t="shared" si="9"/>
        <v>0.36089555837072818</v>
      </c>
      <c r="X89" s="17">
        <f t="shared" si="10"/>
        <v>0.40368951853414647</v>
      </c>
    </row>
    <row r="90" spans="14:24" x14ac:dyDescent="0.3">
      <c r="N90" s="10"/>
      <c r="O90" s="10"/>
      <c r="P90" s="10"/>
      <c r="Q90" s="11"/>
      <c r="R90" s="15">
        <f t="shared" si="11"/>
        <v>70551</v>
      </c>
      <c r="S90" s="15">
        <f t="shared" si="13"/>
        <v>70126</v>
      </c>
      <c r="T90" s="15">
        <f t="shared" si="12"/>
        <v>44966</v>
      </c>
      <c r="U90" s="16">
        <f t="shared" si="7"/>
        <v>-49189.088251367604</v>
      </c>
      <c r="V90" s="16">
        <f t="shared" si="8"/>
        <v>-50524.965226969201</v>
      </c>
      <c r="W90" s="17">
        <f t="shared" si="9"/>
        <v>-0.40228747282298588</v>
      </c>
      <c r="X90" s="17">
        <f t="shared" si="10"/>
        <v>-0.38884947376949075</v>
      </c>
    </row>
    <row r="91" spans="14:24" x14ac:dyDescent="0.3">
      <c r="N91" s="10"/>
      <c r="O91" s="10"/>
      <c r="P91" s="10"/>
      <c r="Q91" s="11"/>
      <c r="R91" s="15">
        <f t="shared" si="11"/>
        <v>71381</v>
      </c>
      <c r="S91" s="15">
        <f t="shared" si="13"/>
        <v>70951</v>
      </c>
      <c r="T91" s="15">
        <f t="shared" si="12"/>
        <v>45495</v>
      </c>
      <c r="U91" s="16">
        <f t="shared" si="7"/>
        <v>52560.655261893793</v>
      </c>
      <c r="V91" s="16">
        <f t="shared" si="8"/>
        <v>47241.901319876684</v>
      </c>
      <c r="W91" s="17">
        <f t="shared" si="9"/>
        <v>0.4254059474809776</v>
      </c>
      <c r="X91" s="17">
        <f t="shared" si="10"/>
        <v>0.35898960693498827</v>
      </c>
    </row>
    <row r="92" spans="14:24" x14ac:dyDescent="0.3">
      <c r="N92" s="10"/>
      <c r="O92" s="10"/>
      <c r="P92" s="10"/>
      <c r="Q92" s="11"/>
      <c r="R92" s="15">
        <f t="shared" si="11"/>
        <v>72211</v>
      </c>
      <c r="S92" s="15">
        <f t="shared" si="13"/>
        <v>71776</v>
      </c>
      <c r="T92" s="15">
        <f t="shared" si="12"/>
        <v>46024</v>
      </c>
      <c r="U92" s="16">
        <f t="shared" si="7"/>
        <v>-55745.772035348396</v>
      </c>
      <c r="V92" s="16">
        <f t="shared" si="8"/>
        <v>-44843.048849983861</v>
      </c>
      <c r="W92" s="17">
        <f t="shared" si="9"/>
        <v>-0.45562346994328612</v>
      </c>
      <c r="X92" s="17">
        <f t="shared" si="10"/>
        <v>-0.34538731455250882</v>
      </c>
    </row>
    <row r="93" spans="14:24" x14ac:dyDescent="0.3">
      <c r="N93" s="10"/>
      <c r="O93" s="10"/>
      <c r="P93" s="10"/>
      <c r="Q93" s="11"/>
      <c r="R93" s="15">
        <f t="shared" si="11"/>
        <v>73041</v>
      </c>
      <c r="S93" s="15">
        <f t="shared" si="13"/>
        <v>72601</v>
      </c>
      <c r="T93" s="15">
        <f t="shared" si="12"/>
        <v>46553</v>
      </c>
      <c r="U93" s="16">
        <f t="shared" si="7"/>
        <v>59877.660513419527</v>
      </c>
      <c r="V93" s="16">
        <f t="shared" si="8"/>
        <v>41800.725999052767</v>
      </c>
      <c r="W93" s="17">
        <f t="shared" si="9"/>
        <v>0.48492685528776797</v>
      </c>
      <c r="X93" s="17">
        <f t="shared" si="10"/>
        <v>0.31736892608881329</v>
      </c>
    </row>
    <row r="94" spans="14:24" x14ac:dyDescent="0.3">
      <c r="N94" s="10"/>
      <c r="O94" s="10"/>
      <c r="P94" s="10"/>
      <c r="Q94" s="11"/>
      <c r="R94" s="15">
        <f t="shared" si="11"/>
        <v>73871</v>
      </c>
      <c r="S94" s="15">
        <f t="shared" si="13"/>
        <v>73426</v>
      </c>
      <c r="T94" s="15">
        <f t="shared" si="12"/>
        <v>47082</v>
      </c>
      <c r="U94" s="16">
        <f t="shared" si="7"/>
        <v>-63072.568378466662</v>
      </c>
      <c r="V94" s="16">
        <f t="shared" si="8"/>
        <v>-37576.733063333253</v>
      </c>
      <c r="W94" s="17">
        <f t="shared" si="9"/>
        <v>-0.51522402435958048</v>
      </c>
      <c r="X94" s="17">
        <f t="shared" si="10"/>
        <v>-0.28980575497175382</v>
      </c>
    </row>
    <row r="95" spans="14:24" x14ac:dyDescent="0.3">
      <c r="N95" s="10"/>
      <c r="O95" s="10"/>
      <c r="P95" s="10"/>
      <c r="Q95" s="11"/>
      <c r="R95" s="15">
        <f t="shared" si="11"/>
        <v>74701</v>
      </c>
      <c r="S95" s="15">
        <f t="shared" si="13"/>
        <v>74251</v>
      </c>
      <c r="T95" s="15">
        <f t="shared" si="12"/>
        <v>47611</v>
      </c>
      <c r="U95" s="16">
        <f t="shared" si="7"/>
        <v>65454.09197117405</v>
      </c>
      <c r="V95" s="16">
        <f t="shared" si="8"/>
        <v>34141.604117095398</v>
      </c>
      <c r="W95" s="17">
        <f t="shared" si="9"/>
        <v>0.53028889225209597</v>
      </c>
      <c r="X95" s="17">
        <f t="shared" si="10"/>
        <v>0.25878271104977413</v>
      </c>
    </row>
    <row r="96" spans="14:24" x14ac:dyDescent="0.3">
      <c r="N96" s="10"/>
      <c r="O96" s="10"/>
      <c r="P96" s="10"/>
      <c r="Q96" s="11"/>
      <c r="R96" s="15">
        <f t="shared" si="11"/>
        <v>75531</v>
      </c>
      <c r="S96" s="15">
        <f t="shared" si="13"/>
        <v>75076</v>
      </c>
      <c r="T96" s="15">
        <f t="shared" si="12"/>
        <v>48140</v>
      </c>
      <c r="U96" s="16">
        <f t="shared" si="7"/>
        <v>-68808.776472202953</v>
      </c>
      <c r="V96" s="16">
        <f t="shared" si="8"/>
        <v>-30676.902564900523</v>
      </c>
      <c r="W96" s="17">
        <f t="shared" si="9"/>
        <v>-0.56188578027900515</v>
      </c>
      <c r="X96" s="17">
        <f t="shared" si="10"/>
        <v>-0.2370275175257146</v>
      </c>
    </row>
    <row r="97" spans="14:24" x14ac:dyDescent="0.3">
      <c r="N97" s="10"/>
      <c r="O97" s="10"/>
      <c r="P97" s="10"/>
      <c r="Q97" s="11"/>
      <c r="R97" s="15">
        <f t="shared" si="11"/>
        <v>76361</v>
      </c>
      <c r="S97" s="15">
        <f t="shared" si="13"/>
        <v>75901</v>
      </c>
      <c r="T97" s="15">
        <f t="shared" si="12"/>
        <v>48669</v>
      </c>
      <c r="U97" s="16">
        <f t="shared" si="7"/>
        <v>71691.73323236368</v>
      </c>
      <c r="V97" s="16">
        <f t="shared" si="8"/>
        <v>25781.616115056204</v>
      </c>
      <c r="W97" s="17">
        <f t="shared" si="9"/>
        <v>0.58102960620220312</v>
      </c>
      <c r="X97" s="17">
        <f t="shared" si="10"/>
        <v>0.19483542540009238</v>
      </c>
    </row>
    <row r="98" spans="14:24" x14ac:dyDescent="0.3">
      <c r="N98" s="10"/>
      <c r="O98" s="10"/>
      <c r="P98" s="10"/>
      <c r="Q98" s="11"/>
      <c r="R98" s="15">
        <f t="shared" si="11"/>
        <v>77191</v>
      </c>
      <c r="S98" s="15">
        <f t="shared" si="13"/>
        <v>76726</v>
      </c>
      <c r="T98" s="15">
        <f t="shared" si="12"/>
        <v>49198</v>
      </c>
      <c r="U98" s="16">
        <f t="shared" si="7"/>
        <v>-73252.774509452502</v>
      </c>
      <c r="V98" s="16">
        <f t="shared" si="8"/>
        <v>-21323.509405714525</v>
      </c>
      <c r="W98" s="17">
        <f t="shared" si="9"/>
        <v>-0.59803592482257129</v>
      </c>
      <c r="X98" s="17">
        <f t="shared" si="10"/>
        <v>-0.16548146937368979</v>
      </c>
    </row>
    <row r="99" spans="14:24" x14ac:dyDescent="0.3">
      <c r="N99" s="10"/>
      <c r="O99" s="10"/>
      <c r="P99" s="10"/>
      <c r="Q99" s="11"/>
      <c r="R99" s="15">
        <f t="shared" si="11"/>
        <v>78021</v>
      </c>
      <c r="S99" s="15">
        <f t="shared" si="13"/>
        <v>77551</v>
      </c>
      <c r="T99" s="15">
        <f t="shared" si="12"/>
        <v>49727</v>
      </c>
      <c r="U99" s="16">
        <f t="shared" si="7"/>
        <v>75525.263709708757</v>
      </c>
      <c r="V99" s="16">
        <f t="shared" si="8"/>
        <v>17450.277406812093</v>
      </c>
      <c r="W99" s="17">
        <f t="shared" si="9"/>
        <v>0.61221384159263126</v>
      </c>
      <c r="X99" s="17">
        <f t="shared" si="10"/>
        <v>0.13110728415271472</v>
      </c>
    </row>
    <row r="100" spans="14:24" x14ac:dyDescent="0.3">
      <c r="N100" s="10"/>
      <c r="O100" s="10"/>
      <c r="P100" s="10"/>
      <c r="Q100" s="11"/>
      <c r="R100" s="15">
        <f t="shared" si="11"/>
        <v>78851</v>
      </c>
      <c r="S100" s="15">
        <f t="shared" si="13"/>
        <v>78376</v>
      </c>
      <c r="T100" s="15">
        <f t="shared" si="12"/>
        <v>50256</v>
      </c>
      <c r="U100" s="16">
        <f t="shared" si="7"/>
        <v>-77891.688550229097</v>
      </c>
      <c r="V100" s="16">
        <f t="shared" si="8"/>
        <v>-12192.740291388274</v>
      </c>
      <c r="W100" s="17">
        <f t="shared" si="9"/>
        <v>-0.63577163300552153</v>
      </c>
      <c r="X100" s="17">
        <f t="shared" si="10"/>
        <v>-9.56383188078411E-2</v>
      </c>
    </row>
    <row r="101" spans="14:24" x14ac:dyDescent="0.3">
      <c r="N101" s="10"/>
      <c r="O101" s="10"/>
      <c r="P101" s="10"/>
      <c r="Q101" s="11"/>
      <c r="R101" s="15">
        <f t="shared" si="11"/>
        <v>79681</v>
      </c>
      <c r="S101" s="15">
        <f t="shared" si="13"/>
        <v>79201</v>
      </c>
      <c r="T101" s="15">
        <f t="shared" si="12"/>
        <v>50785</v>
      </c>
      <c r="U101" s="16">
        <f t="shared" ref="U101:U164" si="14">(R101-S101)*COS(T101)+S101*COS((R101/S101-1)*T101)</f>
        <v>78671.432693047318</v>
      </c>
      <c r="V101" s="16">
        <f t="shared" ref="V101:V164" si="15">(R101-S101)*SIN(T101)-S101*SIN((R101/S101-1)*T101)</f>
        <v>6844.0583980510028</v>
      </c>
      <c r="W101" s="17">
        <f t="shared" si="9"/>
        <v>0.63780666646628159</v>
      </c>
      <c r="X101" s="17">
        <f t="shared" si="10"/>
        <v>4.9978110707622293E-2</v>
      </c>
    </row>
    <row r="102" spans="14:24" x14ac:dyDescent="0.3">
      <c r="N102" s="10"/>
      <c r="O102" s="10"/>
      <c r="P102" s="10"/>
      <c r="Q102" s="11"/>
      <c r="R102" s="15">
        <f t="shared" si="11"/>
        <v>80511</v>
      </c>
      <c r="S102" s="15">
        <f t="shared" si="13"/>
        <v>80026</v>
      </c>
      <c r="T102" s="15">
        <f t="shared" si="12"/>
        <v>51314</v>
      </c>
      <c r="U102" s="16">
        <f t="shared" si="14"/>
        <v>-79648.78212304409</v>
      </c>
      <c r="V102" s="16">
        <f t="shared" si="15"/>
        <v>-2549.1505535174392</v>
      </c>
      <c r="W102" s="17">
        <f t="shared" si="9"/>
        <v>-0.65006488563556675</v>
      </c>
      <c r="X102" s="17">
        <f t="shared" si="10"/>
        <v>-2.1872496715088969E-2</v>
      </c>
    </row>
    <row r="103" spans="14:24" x14ac:dyDescent="0.3">
      <c r="N103" s="10"/>
      <c r="O103" s="10"/>
      <c r="P103" s="10"/>
      <c r="Q103" s="11"/>
      <c r="R103" s="15">
        <f t="shared" si="11"/>
        <v>81341</v>
      </c>
      <c r="S103" s="15">
        <f t="shared" si="13"/>
        <v>80851</v>
      </c>
      <c r="T103" s="15">
        <f t="shared" si="12"/>
        <v>51843</v>
      </c>
      <c r="U103" s="16">
        <f t="shared" si="14"/>
        <v>81239.854560872976</v>
      </c>
      <c r="V103" s="16">
        <f t="shared" si="15"/>
        <v>-2770.7255195350904</v>
      </c>
      <c r="W103" s="17">
        <f t="shared" si="9"/>
        <v>0.65869974989982405</v>
      </c>
      <c r="X103" s="17">
        <f t="shared" si="10"/>
        <v>-2.3567369679176126E-2</v>
      </c>
    </row>
    <row r="104" spans="14:24" x14ac:dyDescent="0.3">
      <c r="N104" s="10"/>
      <c r="O104" s="10"/>
      <c r="P104" s="10"/>
      <c r="Q104" s="11"/>
      <c r="R104" s="15">
        <f t="shared" si="11"/>
        <v>82171</v>
      </c>
      <c r="S104" s="15">
        <f t="shared" si="13"/>
        <v>81676</v>
      </c>
      <c r="T104" s="15">
        <f t="shared" si="12"/>
        <v>52372</v>
      </c>
      <c r="U104" s="16">
        <f t="shared" si="14"/>
        <v>-81296.549722931872</v>
      </c>
      <c r="V104" s="16">
        <f t="shared" si="15"/>
        <v>8754.4007880711433</v>
      </c>
      <c r="W104" s="17">
        <f t="shared" si="9"/>
        <v>-0.66346881525273982</v>
      </c>
      <c r="X104" s="17">
        <f t="shared" si="10"/>
        <v>6.4590716667525069E-2</v>
      </c>
    </row>
    <row r="105" spans="14:24" x14ac:dyDescent="0.3">
      <c r="N105" s="10"/>
      <c r="O105" s="10"/>
      <c r="P105" s="10"/>
      <c r="Q105" s="11"/>
      <c r="R105" s="15">
        <f t="shared" si="11"/>
        <v>83001</v>
      </c>
      <c r="S105" s="15">
        <f t="shared" si="13"/>
        <v>82501</v>
      </c>
      <c r="T105" s="15">
        <f t="shared" si="12"/>
        <v>52901</v>
      </c>
      <c r="U105" s="16">
        <f t="shared" si="14"/>
        <v>80889.138709229737</v>
      </c>
      <c r="V105" s="16">
        <f t="shared" si="15"/>
        <v>-13477.261030889673</v>
      </c>
      <c r="W105" s="17">
        <f t="shared" si="9"/>
        <v>0.65584681688222313</v>
      </c>
      <c r="X105" s="17">
        <f t="shared" si="10"/>
        <v>-0.10546388490097426</v>
      </c>
    </row>
    <row r="106" spans="14:24" x14ac:dyDescent="0.3">
      <c r="N106" s="10"/>
      <c r="O106" s="10"/>
      <c r="P106" s="10"/>
      <c r="Q106" s="11"/>
      <c r="R106" s="15">
        <f t="shared" si="11"/>
        <v>83831</v>
      </c>
      <c r="S106" s="15">
        <f t="shared" si="13"/>
        <v>83326</v>
      </c>
      <c r="T106" s="15">
        <f t="shared" si="12"/>
        <v>53430</v>
      </c>
      <c r="U106" s="16">
        <f t="shared" si="14"/>
        <v>-81427.319786433174</v>
      </c>
      <c r="V106" s="16">
        <f t="shared" si="15"/>
        <v>18610.982675490315</v>
      </c>
      <c r="W106" s="17">
        <f t="shared" si="9"/>
        <v>-0.66453257735567484</v>
      </c>
      <c r="X106" s="17">
        <f t="shared" si="10"/>
        <v>0.13998575997745896</v>
      </c>
    </row>
    <row r="107" spans="14:24" x14ac:dyDescent="0.3">
      <c r="N107" s="10"/>
      <c r="O107" s="10"/>
      <c r="P107" s="10"/>
      <c r="Q107" s="11"/>
      <c r="R107" s="15">
        <f t="shared" si="11"/>
        <v>84661</v>
      </c>
      <c r="S107" s="15">
        <f t="shared" si="13"/>
        <v>84151</v>
      </c>
      <c r="T107" s="15">
        <f t="shared" si="12"/>
        <v>53959</v>
      </c>
      <c r="U107" s="16">
        <f t="shared" si="14"/>
        <v>80800.214920769737</v>
      </c>
      <c r="V107" s="16">
        <f t="shared" si="15"/>
        <v>-24871.410289379779</v>
      </c>
      <c r="W107" s="17">
        <f t="shared" si="9"/>
        <v>0.65512345747043987</v>
      </c>
      <c r="X107" s="17">
        <f t="shared" si="10"/>
        <v>-0.19262010057856224</v>
      </c>
    </row>
    <row r="108" spans="14:24" x14ac:dyDescent="0.3">
      <c r="N108" s="10"/>
      <c r="O108" s="10"/>
      <c r="P108" s="10"/>
      <c r="Q108" s="11"/>
      <c r="R108" s="15">
        <f t="shared" si="11"/>
        <v>85491</v>
      </c>
      <c r="S108" s="15">
        <f t="shared" si="13"/>
        <v>84976</v>
      </c>
      <c r="T108" s="15">
        <f t="shared" si="12"/>
        <v>54488</v>
      </c>
      <c r="U108" s="16">
        <f t="shared" si="14"/>
        <v>-79050.12179093482</v>
      </c>
      <c r="V108" s="16">
        <f t="shared" si="15"/>
        <v>29981.175520644858</v>
      </c>
      <c r="W108" s="17">
        <f t="shared" si="9"/>
        <v>-0.64519502355262948</v>
      </c>
      <c r="X108" s="17">
        <f t="shared" si="10"/>
        <v>0.2269587280706799</v>
      </c>
    </row>
    <row r="109" spans="14:24" x14ac:dyDescent="0.3">
      <c r="N109" s="10"/>
      <c r="O109" s="10"/>
      <c r="P109" s="10"/>
      <c r="Q109" s="11"/>
      <c r="R109" s="15">
        <f t="shared" si="11"/>
        <v>86321</v>
      </c>
      <c r="S109" s="15">
        <f t="shared" si="13"/>
        <v>85801</v>
      </c>
      <c r="T109" s="15">
        <f t="shared" si="12"/>
        <v>55017</v>
      </c>
      <c r="U109" s="16">
        <f t="shared" si="14"/>
        <v>78288.759613182716</v>
      </c>
      <c r="V109" s="16">
        <f t="shared" si="15"/>
        <v>-34757.646816610366</v>
      </c>
      <c r="W109" s="17">
        <f t="shared" si="9"/>
        <v>0.63469377419358408</v>
      </c>
      <c r="X109" s="17">
        <f t="shared" si="10"/>
        <v>-0.26824197839141606</v>
      </c>
    </row>
    <row r="110" spans="14:24" x14ac:dyDescent="0.3">
      <c r="N110" s="10"/>
      <c r="O110" s="10"/>
      <c r="P110" s="10"/>
      <c r="Q110" s="11"/>
      <c r="R110" s="15">
        <f t="shared" si="11"/>
        <v>87151</v>
      </c>
      <c r="S110" s="15">
        <f t="shared" si="13"/>
        <v>86626</v>
      </c>
      <c r="T110" s="15">
        <f t="shared" si="12"/>
        <v>55546</v>
      </c>
      <c r="U110" s="16">
        <f t="shared" si="14"/>
        <v>-76970.111488954237</v>
      </c>
      <c r="V110" s="16">
        <f t="shared" si="15"/>
        <v>40876.553618652782</v>
      </c>
      <c r="W110" s="17">
        <f t="shared" si="9"/>
        <v>-0.62827497263486565</v>
      </c>
      <c r="X110" s="17">
        <f t="shared" si="10"/>
        <v>0.31029973948417117</v>
      </c>
    </row>
    <row r="111" spans="14:24" x14ac:dyDescent="0.3">
      <c r="N111" s="10"/>
      <c r="O111" s="10"/>
      <c r="P111" s="10"/>
      <c r="Q111" s="11"/>
      <c r="R111" s="15">
        <f t="shared" si="11"/>
        <v>87981</v>
      </c>
      <c r="S111" s="15">
        <f t="shared" si="13"/>
        <v>87451</v>
      </c>
      <c r="T111" s="15">
        <f t="shared" si="12"/>
        <v>56075</v>
      </c>
      <c r="U111" s="16">
        <f t="shared" si="14"/>
        <v>74034.399394207416</v>
      </c>
      <c r="V111" s="16">
        <f t="shared" si="15"/>
        <v>-46249.185267572102</v>
      </c>
      <c r="W111" s="17">
        <f t="shared" si="9"/>
        <v>0.60008625736588972</v>
      </c>
      <c r="X111" s="17">
        <f t="shared" si="10"/>
        <v>-0.35614314424221671</v>
      </c>
    </row>
    <row r="112" spans="14:24" x14ac:dyDescent="0.3">
      <c r="N112" s="10"/>
      <c r="O112" s="10"/>
      <c r="P112" s="10"/>
      <c r="Q112" s="11"/>
      <c r="R112" s="15">
        <f t="shared" si="11"/>
        <v>88811</v>
      </c>
      <c r="S112" s="15">
        <f t="shared" si="13"/>
        <v>88276</v>
      </c>
      <c r="T112" s="15">
        <f t="shared" si="12"/>
        <v>56604</v>
      </c>
      <c r="U112" s="16">
        <f t="shared" si="14"/>
        <v>-71810.776287478322</v>
      </c>
      <c r="V112" s="16">
        <f t="shared" si="15"/>
        <v>50578.256293693077</v>
      </c>
      <c r="W112" s="17">
        <f t="shared" si="9"/>
        <v>-0.58630584669945074</v>
      </c>
      <c r="X112" s="17">
        <f t="shared" si="10"/>
        <v>0.38451007951070637</v>
      </c>
    </row>
    <row r="113" spans="14:24" x14ac:dyDescent="0.3">
      <c r="N113" s="10"/>
      <c r="O113" s="10"/>
      <c r="P113" s="10"/>
      <c r="Q113" s="11"/>
      <c r="R113" s="15">
        <f t="shared" si="11"/>
        <v>89641</v>
      </c>
      <c r="S113" s="15">
        <f t="shared" si="13"/>
        <v>89101</v>
      </c>
      <c r="T113" s="15">
        <f t="shared" si="12"/>
        <v>57133</v>
      </c>
      <c r="U113" s="16">
        <f t="shared" si="14"/>
        <v>69736.813382302484</v>
      </c>
      <c r="V113" s="16">
        <f t="shared" si="15"/>
        <v>-56134.044973520431</v>
      </c>
      <c r="W113" s="17">
        <f t="shared" si="9"/>
        <v>0.56512711602141585</v>
      </c>
      <c r="X113" s="17">
        <f t="shared" si="10"/>
        <v>-0.4317544904629434</v>
      </c>
    </row>
    <row r="114" spans="14:24" x14ac:dyDescent="0.3">
      <c r="N114" s="10"/>
      <c r="O114" s="10"/>
      <c r="P114" s="10"/>
      <c r="Q114" s="11"/>
      <c r="R114" s="15">
        <f t="shared" si="11"/>
        <v>90471</v>
      </c>
      <c r="S114" s="15">
        <f t="shared" si="13"/>
        <v>89926</v>
      </c>
      <c r="T114" s="15">
        <f t="shared" si="12"/>
        <v>57662</v>
      </c>
      <c r="U114" s="16">
        <f t="shared" si="14"/>
        <v>-65849.568120284341</v>
      </c>
      <c r="V114" s="16">
        <f t="shared" si="15"/>
        <v>61542.708424833545</v>
      </c>
      <c r="W114" s="17">
        <f t="shared" si="9"/>
        <v>-0.53781380527818035</v>
      </c>
      <c r="X114" s="17">
        <f t="shared" si="10"/>
        <v>0.46837945255900199</v>
      </c>
    </row>
    <row r="115" spans="14:24" x14ac:dyDescent="0.3">
      <c r="N115" s="10"/>
      <c r="O115" s="10"/>
      <c r="P115" s="10"/>
      <c r="Q115" s="11"/>
      <c r="R115" s="15">
        <f t="shared" si="11"/>
        <v>91301</v>
      </c>
      <c r="S115" s="15">
        <f t="shared" si="13"/>
        <v>90751</v>
      </c>
      <c r="T115" s="15">
        <f t="shared" si="12"/>
        <v>58191</v>
      </c>
      <c r="U115" s="16">
        <f t="shared" si="14"/>
        <v>62128.941637522832</v>
      </c>
      <c r="V115" s="16">
        <f t="shared" si="15"/>
        <v>-65395.84634060337</v>
      </c>
      <c r="W115" s="17">
        <f t="shared" si="9"/>
        <v>0.50324012576232158</v>
      </c>
      <c r="X115" s="17">
        <f t="shared" si="10"/>
        <v>-0.50259993396202474</v>
      </c>
    </row>
    <row r="116" spans="14:24" x14ac:dyDescent="0.3">
      <c r="N116" s="10"/>
      <c r="O116" s="10"/>
      <c r="P116" s="10"/>
      <c r="Q116" s="11"/>
      <c r="R116" s="15">
        <f t="shared" si="11"/>
        <v>92131</v>
      </c>
      <c r="S116" s="15">
        <f t="shared" si="13"/>
        <v>91576</v>
      </c>
      <c r="T116" s="15">
        <f t="shared" si="12"/>
        <v>58720</v>
      </c>
      <c r="U116" s="16">
        <f t="shared" si="14"/>
        <v>-59193.96414884855</v>
      </c>
      <c r="V116" s="16">
        <f t="shared" si="15"/>
        <v>70022.528876041266</v>
      </c>
      <c r="W116" s="17">
        <f t="shared" si="9"/>
        <v>-0.4836731320430841</v>
      </c>
      <c r="X116" s="17">
        <f t="shared" si="10"/>
        <v>0.53324336151666119</v>
      </c>
    </row>
    <row r="117" spans="14:24" x14ac:dyDescent="0.3">
      <c r="N117" s="10"/>
      <c r="O117" s="10"/>
      <c r="P117" s="10"/>
      <c r="Q117" s="11"/>
      <c r="R117" s="15">
        <f t="shared" si="11"/>
        <v>92961</v>
      </c>
      <c r="S117" s="15">
        <f t="shared" si="13"/>
        <v>92401</v>
      </c>
      <c r="T117" s="15">
        <f t="shared" si="12"/>
        <v>59249</v>
      </c>
      <c r="U117" s="16">
        <f t="shared" si="14"/>
        <v>54616.233237932087</v>
      </c>
      <c r="V117" s="16">
        <f t="shared" si="15"/>
        <v>-75141.48285792071</v>
      </c>
      <c r="W117" s="17">
        <f t="shared" si="9"/>
        <v>0.44212725121052349</v>
      </c>
      <c r="X117" s="17">
        <f t="shared" si="10"/>
        <v>-0.57714633307872754</v>
      </c>
    </row>
    <row r="118" spans="14:24" x14ac:dyDescent="0.3">
      <c r="N118" s="10"/>
      <c r="O118" s="10"/>
      <c r="P118" s="10"/>
      <c r="Q118" s="11"/>
      <c r="R118" s="15">
        <f t="shared" si="11"/>
        <v>93791</v>
      </c>
      <c r="S118" s="15">
        <f t="shared" si="13"/>
        <v>93226</v>
      </c>
      <c r="T118" s="15">
        <f t="shared" si="12"/>
        <v>59778</v>
      </c>
      <c r="U118" s="16">
        <f t="shared" si="14"/>
        <v>-49515.674762157716</v>
      </c>
      <c r="V118" s="16">
        <f t="shared" si="15"/>
        <v>78515.145263874729</v>
      </c>
      <c r="W118" s="17">
        <f t="shared" si="9"/>
        <v>-0.40494412331474633</v>
      </c>
      <c r="X118" s="17">
        <f t="shared" si="10"/>
        <v>0.59820514925289769</v>
      </c>
    </row>
    <row r="119" spans="14:24" x14ac:dyDescent="0.3">
      <c r="N119" s="10"/>
      <c r="O119" s="10"/>
      <c r="P119" s="10"/>
      <c r="Q119" s="11"/>
      <c r="R119" s="15">
        <f t="shared" si="11"/>
        <v>94621</v>
      </c>
      <c r="S119" s="15">
        <f t="shared" si="13"/>
        <v>94051</v>
      </c>
      <c r="T119" s="15">
        <f t="shared" si="12"/>
        <v>60307</v>
      </c>
      <c r="U119" s="16">
        <f t="shared" si="14"/>
        <v>45607.387557805167</v>
      </c>
      <c r="V119" s="16">
        <f t="shared" si="15"/>
        <v>-81950.591206349141</v>
      </c>
      <c r="W119" s="17">
        <f t="shared" si="9"/>
        <v>0.36884389897285424</v>
      </c>
      <c r="X119" s="17">
        <f t="shared" si="10"/>
        <v>-0.62923061794497093</v>
      </c>
    </row>
    <row r="120" spans="14:24" x14ac:dyDescent="0.3">
      <c r="N120" s="10"/>
      <c r="O120" s="10"/>
      <c r="P120" s="10"/>
      <c r="Q120" s="11"/>
      <c r="R120" s="15">
        <f t="shared" si="11"/>
        <v>95451</v>
      </c>
      <c r="S120" s="15">
        <f t="shared" si="13"/>
        <v>94876</v>
      </c>
      <c r="T120" s="15">
        <f t="shared" si="12"/>
        <v>60836</v>
      </c>
      <c r="U120" s="16">
        <f t="shared" si="14"/>
        <v>-40577.363237827747</v>
      </c>
      <c r="V120" s="16">
        <f t="shared" si="15"/>
        <v>86385.099854858563</v>
      </c>
      <c r="W120" s="17">
        <f t="shared" si="9"/>
        <v>-0.33223453819082144</v>
      </c>
      <c r="X120" s="17">
        <f t="shared" si="10"/>
        <v>0.6584040674997792</v>
      </c>
    </row>
    <row r="121" spans="14:24" x14ac:dyDescent="0.3">
      <c r="N121" s="10"/>
      <c r="O121" s="10"/>
      <c r="P121" s="10"/>
      <c r="Q121" s="11"/>
      <c r="R121" s="15">
        <f t="shared" si="11"/>
        <v>96281</v>
      </c>
      <c r="S121" s="15">
        <f t="shared" si="13"/>
        <v>95701</v>
      </c>
      <c r="T121" s="15">
        <f t="shared" si="12"/>
        <v>61365</v>
      </c>
      <c r="U121" s="16">
        <f t="shared" si="14"/>
        <v>34362.353731761505</v>
      </c>
      <c r="V121" s="16">
        <f t="shared" si="15"/>
        <v>-89257.220283733375</v>
      </c>
      <c r="W121" s="17">
        <f t="shared" si="9"/>
        <v>0.27737005159456801</v>
      </c>
      <c r="X121" s="17">
        <f t="shared" si="10"/>
        <v>-0.68512054226469354</v>
      </c>
    </row>
    <row r="122" spans="14:24" x14ac:dyDescent="0.3">
      <c r="N122" s="10"/>
      <c r="O122" s="10"/>
      <c r="P122" s="10"/>
      <c r="Q122" s="11"/>
      <c r="R122" s="15">
        <f t="shared" si="11"/>
        <v>97111</v>
      </c>
      <c r="S122" s="15">
        <f t="shared" si="13"/>
        <v>96526</v>
      </c>
      <c r="T122" s="15">
        <f t="shared" si="12"/>
        <v>61894</v>
      </c>
      <c r="U122" s="16">
        <f t="shared" si="14"/>
        <v>-29410.586412243076</v>
      </c>
      <c r="V122" s="16">
        <f t="shared" si="15"/>
        <v>91369.930879954103</v>
      </c>
      <c r="W122" s="17">
        <f t="shared" si="9"/>
        <v>-0.24139728017518244</v>
      </c>
      <c r="X122" s="17">
        <f t="shared" si="10"/>
        <v>0.69653407598776096</v>
      </c>
    </row>
    <row r="123" spans="14:24" x14ac:dyDescent="0.3">
      <c r="N123" s="10"/>
      <c r="O123" s="10"/>
      <c r="P123" s="10"/>
      <c r="Q123" s="11"/>
      <c r="R123" s="15">
        <f t="shared" si="11"/>
        <v>97941</v>
      </c>
      <c r="S123" s="15">
        <f t="shared" si="13"/>
        <v>97351</v>
      </c>
      <c r="T123" s="15">
        <f t="shared" si="12"/>
        <v>62423</v>
      </c>
      <c r="U123" s="16">
        <f t="shared" si="14"/>
        <v>24106.542017542128</v>
      </c>
      <c r="V123" s="16">
        <f t="shared" si="15"/>
        <v>-94708.057459454008</v>
      </c>
      <c r="W123" s="17">
        <f t="shared" si="9"/>
        <v>0.19394312998636429</v>
      </c>
      <c r="X123" s="17">
        <f t="shared" si="10"/>
        <v>-0.7268151286469573</v>
      </c>
    </row>
    <row r="124" spans="14:24" x14ac:dyDescent="0.3">
      <c r="N124" s="10"/>
      <c r="O124" s="10"/>
      <c r="P124" s="10"/>
      <c r="Q124" s="11"/>
      <c r="R124" s="15">
        <f t="shared" si="11"/>
        <v>98771</v>
      </c>
      <c r="S124" s="15">
        <f t="shared" si="13"/>
        <v>98176</v>
      </c>
      <c r="T124" s="15">
        <f t="shared" si="12"/>
        <v>62952</v>
      </c>
      <c r="U124" s="16">
        <f t="shared" si="14"/>
        <v>-17159.43703956496</v>
      </c>
      <c r="V124" s="16">
        <f t="shared" si="15"/>
        <v>97000.376922875512</v>
      </c>
      <c r="W124" s="17">
        <f t="shared" si="9"/>
        <v>-0.14173908569919247</v>
      </c>
      <c r="X124" s="17">
        <f t="shared" si="10"/>
        <v>0.73960252792261905</v>
      </c>
    </row>
    <row r="125" spans="14:24" x14ac:dyDescent="0.3">
      <c r="N125" s="10"/>
      <c r="O125" s="10"/>
      <c r="P125" s="10"/>
      <c r="Q125" s="11"/>
      <c r="R125" s="15">
        <f t="shared" si="11"/>
        <v>99601</v>
      </c>
      <c r="S125" s="15">
        <f t="shared" si="13"/>
        <v>99001</v>
      </c>
      <c r="T125" s="15">
        <f t="shared" si="12"/>
        <v>63481</v>
      </c>
      <c r="U125" s="16">
        <f t="shared" si="14"/>
        <v>11186.154555620677</v>
      </c>
      <c r="V125" s="16">
        <f t="shared" si="15"/>
        <v>-97788.900302151524</v>
      </c>
      <c r="W125" s="17">
        <f t="shared" si="9"/>
        <v>8.8840951634274287E-2</v>
      </c>
      <c r="X125" s="17">
        <f t="shared" si="10"/>
        <v>-0.75038113582970678</v>
      </c>
    </row>
    <row r="126" spans="14:24" x14ac:dyDescent="0.3">
      <c r="N126" s="10"/>
      <c r="O126" s="10"/>
      <c r="P126" s="10"/>
      <c r="Q126" s="11"/>
      <c r="R126" s="15">
        <f t="shared" si="11"/>
        <v>100431</v>
      </c>
      <c r="S126" s="15">
        <f t="shared" si="13"/>
        <v>99826</v>
      </c>
      <c r="T126" s="15">
        <f t="shared" si="12"/>
        <v>64010</v>
      </c>
      <c r="U126" s="16">
        <f t="shared" si="14"/>
        <v>-5711.6099531819336</v>
      </c>
      <c r="V126" s="16">
        <f t="shared" si="15"/>
        <v>99665.215684945637</v>
      </c>
      <c r="W126" s="17">
        <f t="shared" si="9"/>
        <v>-4.8615596351607261E-2</v>
      </c>
      <c r="X126" s="17">
        <f t="shared" si="10"/>
        <v>0.75998643343622452</v>
      </c>
    </row>
    <row r="127" spans="14:24" x14ac:dyDescent="0.3">
      <c r="N127" s="10"/>
      <c r="O127" s="10"/>
      <c r="P127" s="10"/>
      <c r="Q127" s="11"/>
      <c r="R127" s="15">
        <f t="shared" si="11"/>
        <v>101261</v>
      </c>
      <c r="S127" s="15">
        <f t="shared" si="13"/>
        <v>100651</v>
      </c>
      <c r="T127" s="15">
        <f t="shared" si="12"/>
        <v>64539</v>
      </c>
      <c r="U127" s="16">
        <f t="shared" si="14"/>
        <v>-1522.2279343350331</v>
      </c>
      <c r="V127" s="16">
        <f t="shared" si="15"/>
        <v>-101223.28955756658</v>
      </c>
      <c r="W127" s="17">
        <f t="shared" si="9"/>
        <v>-1.4536651163039E-2</v>
      </c>
      <c r="X127" s="17">
        <f t="shared" si="10"/>
        <v>-0.77665149299943637</v>
      </c>
    </row>
    <row r="128" spans="14:24" x14ac:dyDescent="0.3">
      <c r="N128" s="10"/>
      <c r="O128" s="10"/>
      <c r="P128" s="10"/>
      <c r="Q128" s="11"/>
      <c r="R128" s="15">
        <f t="shared" si="11"/>
        <v>102091</v>
      </c>
      <c r="S128" s="15">
        <f t="shared" si="13"/>
        <v>101476</v>
      </c>
      <c r="T128" s="15">
        <f t="shared" si="12"/>
        <v>65068</v>
      </c>
      <c r="U128" s="16">
        <f t="shared" si="14"/>
        <v>8365.088788393743</v>
      </c>
      <c r="V128" s="16">
        <f t="shared" si="15"/>
        <v>100788.95404875997</v>
      </c>
      <c r="W128" s="17">
        <f t="shared" si="9"/>
        <v>6.5892711244123728E-2</v>
      </c>
      <c r="X128" s="17">
        <f t="shared" si="10"/>
        <v>0.76858214172298434</v>
      </c>
    </row>
    <row r="129" spans="14:24" x14ac:dyDescent="0.3">
      <c r="N129" s="10"/>
      <c r="O129" s="10"/>
      <c r="P129" s="10"/>
      <c r="Q129" s="11"/>
      <c r="R129" s="15">
        <f t="shared" si="11"/>
        <v>102921</v>
      </c>
      <c r="S129" s="15">
        <f t="shared" si="13"/>
        <v>102301</v>
      </c>
      <c r="T129" s="15">
        <f t="shared" si="12"/>
        <v>65597</v>
      </c>
      <c r="U129" s="16">
        <f t="shared" si="14"/>
        <v>-13970.089403013779</v>
      </c>
      <c r="V129" s="16">
        <f t="shared" si="15"/>
        <v>-100946.53368174717</v>
      </c>
      <c r="W129" s="17">
        <f t="shared" si="9"/>
        <v>-0.11579501977148471</v>
      </c>
      <c r="X129" s="17">
        <f t="shared" si="10"/>
        <v>-0.77453452978825299</v>
      </c>
    </row>
    <row r="130" spans="14:24" x14ac:dyDescent="0.3">
      <c r="N130" s="10"/>
      <c r="O130" s="10"/>
      <c r="P130" s="10"/>
      <c r="Q130" s="11"/>
      <c r="R130" s="15">
        <f t="shared" si="11"/>
        <v>103751</v>
      </c>
      <c r="S130" s="15">
        <f t="shared" si="13"/>
        <v>103126</v>
      </c>
      <c r="T130" s="15">
        <f t="shared" si="12"/>
        <v>66126</v>
      </c>
      <c r="U130" s="16">
        <f t="shared" si="14"/>
        <v>21047.141160162548</v>
      </c>
      <c r="V130" s="16">
        <f t="shared" si="15"/>
        <v>101545.1871598249</v>
      </c>
      <c r="W130" s="17">
        <f t="shared" si="9"/>
        <v>0.16905612907323328</v>
      </c>
      <c r="X130" s="17">
        <f t="shared" si="10"/>
        <v>0.77436672595435174</v>
      </c>
    </row>
    <row r="131" spans="14:24" x14ac:dyDescent="0.3">
      <c r="N131" s="10"/>
      <c r="O131" s="10"/>
      <c r="P131" s="10"/>
      <c r="Q131" s="11"/>
      <c r="R131" s="15">
        <f t="shared" si="11"/>
        <v>104581</v>
      </c>
      <c r="S131" s="15">
        <f t="shared" si="13"/>
        <v>103951</v>
      </c>
      <c r="T131" s="15">
        <f t="shared" si="12"/>
        <v>66655</v>
      </c>
      <c r="U131" s="16">
        <f t="shared" si="14"/>
        <v>-28463.453452921785</v>
      </c>
      <c r="V131" s="16">
        <f t="shared" si="15"/>
        <v>-100045.45036227432</v>
      </c>
      <c r="W131" s="17">
        <f t="shared" si="9"/>
        <v>-0.23369273280714825</v>
      </c>
      <c r="X131" s="17">
        <f t="shared" si="10"/>
        <v>-0.76764195620914766</v>
      </c>
    </row>
    <row r="132" spans="14:24" x14ac:dyDescent="0.3">
      <c r="N132" s="10"/>
      <c r="O132" s="10"/>
      <c r="P132" s="10"/>
      <c r="Q132" s="11"/>
      <c r="R132" s="15">
        <f t="shared" si="11"/>
        <v>105411</v>
      </c>
      <c r="S132" s="15">
        <f t="shared" si="13"/>
        <v>104776</v>
      </c>
      <c r="T132" s="15">
        <f t="shared" si="12"/>
        <v>67184</v>
      </c>
      <c r="U132" s="16">
        <f t="shared" si="14"/>
        <v>34187.891354443906</v>
      </c>
      <c r="V132" s="16">
        <f t="shared" si="15"/>
        <v>98382.081496431929</v>
      </c>
      <c r="W132" s="17">
        <f t="shared" si="9"/>
        <v>0.2759508700142474</v>
      </c>
      <c r="X132" s="17">
        <f t="shared" si="10"/>
        <v>0.75017147335975742</v>
      </c>
    </row>
    <row r="133" spans="14:24" x14ac:dyDescent="0.3">
      <c r="N133" s="10"/>
      <c r="O133" s="10"/>
      <c r="P133" s="10"/>
      <c r="Q133" s="11"/>
      <c r="R133" s="15">
        <f t="shared" si="11"/>
        <v>106241</v>
      </c>
      <c r="S133" s="15">
        <f t="shared" si="13"/>
        <v>105601</v>
      </c>
      <c r="T133" s="15">
        <f t="shared" si="12"/>
        <v>67713</v>
      </c>
      <c r="U133" s="16">
        <f t="shared" si="14"/>
        <v>-40728.001407384239</v>
      </c>
      <c r="V133" s="16">
        <f t="shared" si="15"/>
        <v>-97757.772066775229</v>
      </c>
      <c r="W133" s="17">
        <f t="shared" ref="W133:W196" si="16">(U133-$W$1)/$W$2</f>
        <v>-0.33345991938082209</v>
      </c>
      <c r="X133" s="17">
        <f t="shared" ref="X133:X196" si="17">(V133-$X$1)/$X$2</f>
        <v>-0.75014302948805978</v>
      </c>
    </row>
    <row r="134" spans="14:24" x14ac:dyDescent="0.3">
      <c r="N134" s="10"/>
      <c r="O134" s="10"/>
      <c r="P134" s="10"/>
      <c r="Q134" s="11"/>
      <c r="R134" s="15">
        <f t="shared" ref="R134:R197" si="18">R133+a_inc</f>
        <v>107071</v>
      </c>
      <c r="S134" s="15">
        <f t="shared" si="13"/>
        <v>106426</v>
      </c>
      <c r="T134" s="15">
        <f t="shared" ref="T134:T197" si="19">T133+t_inc</f>
        <v>68242</v>
      </c>
      <c r="U134" s="16">
        <f t="shared" si="14"/>
        <v>48293.222635108745</v>
      </c>
      <c r="V134" s="16">
        <f t="shared" si="15"/>
        <v>95352.480243901649</v>
      </c>
      <c r="W134" s="17">
        <f t="shared" si="16"/>
        <v>0.39069209185027431</v>
      </c>
      <c r="X134" s="17">
        <f t="shared" si="17"/>
        <v>0.72699742374952703</v>
      </c>
    </row>
    <row r="135" spans="14:24" x14ac:dyDescent="0.3">
      <c r="N135" s="10"/>
      <c r="O135" s="10"/>
      <c r="P135" s="10"/>
      <c r="Q135" s="11"/>
      <c r="R135" s="15">
        <f t="shared" si="18"/>
        <v>107901</v>
      </c>
      <c r="S135" s="15">
        <f t="shared" ref="S135:S198" si="20">S134+b_inc</f>
        <v>107251</v>
      </c>
      <c r="T135" s="15">
        <f t="shared" si="19"/>
        <v>68771</v>
      </c>
      <c r="U135" s="16">
        <f t="shared" si="14"/>
        <v>-54106.773908654512</v>
      </c>
      <c r="V135" s="16">
        <f t="shared" si="15"/>
        <v>-91940.027193239643</v>
      </c>
      <c r="W135" s="17">
        <f t="shared" si="16"/>
        <v>-0.44229087647902599</v>
      </c>
      <c r="X135" s="17">
        <f t="shared" si="17"/>
        <v>-0.7056418898722846</v>
      </c>
    </row>
    <row r="136" spans="14:24" x14ac:dyDescent="0.3">
      <c r="N136" s="10"/>
      <c r="O136" s="10"/>
      <c r="P136" s="10"/>
      <c r="Q136" s="11"/>
      <c r="R136" s="15">
        <f t="shared" si="18"/>
        <v>108731</v>
      </c>
      <c r="S136" s="15">
        <f t="shared" si="20"/>
        <v>108076</v>
      </c>
      <c r="T136" s="15">
        <f t="shared" si="19"/>
        <v>69300</v>
      </c>
      <c r="U136" s="16">
        <f t="shared" si="14"/>
        <v>59837.507349486776</v>
      </c>
      <c r="V136" s="16">
        <f t="shared" si="15"/>
        <v>89844.513341549071</v>
      </c>
      <c r="W136" s="17">
        <f t="shared" si="16"/>
        <v>0.48460022537751968</v>
      </c>
      <c r="X136" s="17">
        <f t="shared" si="17"/>
        <v>0.68486584021521835</v>
      </c>
    </row>
    <row r="137" spans="14:24" x14ac:dyDescent="0.3">
      <c r="N137" s="10"/>
      <c r="O137" s="10"/>
      <c r="P137" s="10"/>
      <c r="Q137" s="11"/>
      <c r="R137" s="15">
        <f t="shared" si="18"/>
        <v>109561</v>
      </c>
      <c r="S137" s="15">
        <f t="shared" si="20"/>
        <v>108901</v>
      </c>
      <c r="T137" s="15">
        <f t="shared" si="19"/>
        <v>69829</v>
      </c>
      <c r="U137" s="16">
        <f t="shared" si="14"/>
        <v>-67043.838797808989</v>
      </c>
      <c r="V137" s="16">
        <f t="shared" si="15"/>
        <v>-86649.40047139948</v>
      </c>
      <c r="W137" s="17">
        <f t="shared" si="16"/>
        <v>-0.54752871902359213</v>
      </c>
      <c r="X137" s="17">
        <f t="shared" si="17"/>
        <v>-0.66517278654763534</v>
      </c>
    </row>
    <row r="138" spans="14:24" x14ac:dyDescent="0.3">
      <c r="N138" s="10"/>
      <c r="O138" s="10"/>
      <c r="P138" s="10"/>
      <c r="Q138" s="11"/>
      <c r="R138" s="15">
        <f t="shared" si="18"/>
        <v>110391</v>
      </c>
      <c r="S138" s="15">
        <f t="shared" si="20"/>
        <v>109726</v>
      </c>
      <c r="T138" s="15">
        <f t="shared" si="19"/>
        <v>70358</v>
      </c>
      <c r="U138" s="16">
        <f t="shared" si="14"/>
        <v>72848.180552194812</v>
      </c>
      <c r="V138" s="16">
        <f t="shared" si="15"/>
        <v>81721.17720934347</v>
      </c>
      <c r="W138" s="17">
        <f t="shared" si="16"/>
        <v>0.59043684207820935</v>
      </c>
      <c r="X138" s="17">
        <f t="shared" si="17"/>
        <v>0.62272875390028304</v>
      </c>
    </row>
    <row r="139" spans="14:24" x14ac:dyDescent="0.3">
      <c r="N139" s="10"/>
      <c r="O139" s="10"/>
      <c r="P139" s="10"/>
      <c r="Q139" s="11"/>
      <c r="R139" s="15">
        <f t="shared" si="18"/>
        <v>111221</v>
      </c>
      <c r="S139" s="15">
        <f t="shared" si="20"/>
        <v>110551</v>
      </c>
      <c r="T139" s="15">
        <f t="shared" si="19"/>
        <v>70887</v>
      </c>
      <c r="U139" s="16">
        <f t="shared" si="14"/>
        <v>-77622.129170686982</v>
      </c>
      <c r="V139" s="16">
        <f t="shared" si="15"/>
        <v>-77984.863538764868</v>
      </c>
      <c r="W139" s="17">
        <f t="shared" si="16"/>
        <v>-0.63357887539135471</v>
      </c>
      <c r="X139" s="17">
        <f t="shared" si="17"/>
        <v>-0.59889594283467174</v>
      </c>
    </row>
    <row r="140" spans="14:24" x14ac:dyDescent="0.3">
      <c r="N140" s="10"/>
      <c r="O140" s="10"/>
      <c r="P140" s="10"/>
      <c r="Q140" s="11"/>
      <c r="R140" s="15">
        <f t="shared" si="18"/>
        <v>112051</v>
      </c>
      <c r="S140" s="15">
        <f t="shared" si="20"/>
        <v>111376</v>
      </c>
      <c r="T140" s="15">
        <f t="shared" si="19"/>
        <v>71416</v>
      </c>
      <c r="U140" s="16">
        <f t="shared" si="14"/>
        <v>83945.231563191002</v>
      </c>
      <c r="V140" s="16">
        <f t="shared" si="15"/>
        <v>74045.054228511843</v>
      </c>
      <c r="W140" s="17">
        <f t="shared" si="16"/>
        <v>0.68070690851215454</v>
      </c>
      <c r="X140" s="17">
        <f t="shared" si="17"/>
        <v>0.56401249392268593</v>
      </c>
    </row>
    <row r="141" spans="14:24" x14ac:dyDescent="0.3">
      <c r="N141" s="10"/>
      <c r="O141" s="10"/>
      <c r="P141" s="10"/>
      <c r="Q141" s="11"/>
      <c r="R141" s="15">
        <f t="shared" si="18"/>
        <v>112881</v>
      </c>
      <c r="S141" s="15">
        <f t="shared" si="20"/>
        <v>112201</v>
      </c>
      <c r="T141" s="15">
        <f t="shared" si="19"/>
        <v>71945</v>
      </c>
      <c r="U141" s="16">
        <f t="shared" si="14"/>
        <v>-89539.418332392655</v>
      </c>
      <c r="V141" s="16">
        <f t="shared" si="15"/>
        <v>-67953.472136967132</v>
      </c>
      <c r="W141" s="17">
        <f t="shared" si="16"/>
        <v>-0.73052125073717489</v>
      </c>
      <c r="X141" s="17">
        <f t="shared" si="17"/>
        <v>-0.52216374521931042</v>
      </c>
    </row>
    <row r="142" spans="14:24" x14ac:dyDescent="0.3">
      <c r="N142" s="10"/>
      <c r="O142" s="10"/>
      <c r="P142" s="10"/>
      <c r="Q142" s="11"/>
      <c r="R142" s="15">
        <f t="shared" si="18"/>
        <v>113711</v>
      </c>
      <c r="S142" s="15">
        <f t="shared" si="20"/>
        <v>113026</v>
      </c>
      <c r="T142" s="15">
        <f t="shared" si="19"/>
        <v>72474</v>
      </c>
      <c r="U142" s="16">
        <f t="shared" si="14"/>
        <v>93321.111497059217</v>
      </c>
      <c r="V142" s="16">
        <f t="shared" si="15"/>
        <v>62543.39397513475</v>
      </c>
      <c r="W142" s="17">
        <f t="shared" si="16"/>
        <v>0.75697593743419056</v>
      </c>
      <c r="X142" s="17">
        <f t="shared" si="17"/>
        <v>0.47603390430163739</v>
      </c>
    </row>
    <row r="143" spans="14:24" x14ac:dyDescent="0.3">
      <c r="N143" s="10"/>
      <c r="O143" s="10"/>
      <c r="P143" s="10"/>
      <c r="Q143" s="11"/>
      <c r="R143" s="15">
        <f t="shared" si="18"/>
        <v>114541</v>
      </c>
      <c r="S143" s="15">
        <f t="shared" si="20"/>
        <v>113851</v>
      </c>
      <c r="T143" s="15">
        <f t="shared" si="19"/>
        <v>73003</v>
      </c>
      <c r="U143" s="16">
        <f t="shared" si="14"/>
        <v>-98294.901045851671</v>
      </c>
      <c r="V143" s="16">
        <f t="shared" si="15"/>
        <v>-57834.764014118766</v>
      </c>
      <c r="W143" s="17">
        <f t="shared" si="16"/>
        <v>-0.80174359669395479</v>
      </c>
      <c r="X143" s="17">
        <f t="shared" si="17"/>
        <v>-0.44476364385795619</v>
      </c>
    </row>
    <row r="144" spans="14:24" x14ac:dyDescent="0.3">
      <c r="N144" s="10"/>
      <c r="O144" s="10"/>
      <c r="P144" s="10"/>
      <c r="Q144" s="11"/>
      <c r="R144" s="15">
        <f t="shared" si="18"/>
        <v>115371</v>
      </c>
      <c r="S144" s="15">
        <f t="shared" si="20"/>
        <v>114676</v>
      </c>
      <c r="T144" s="15">
        <f t="shared" si="19"/>
        <v>73532</v>
      </c>
      <c r="U144" s="16">
        <f t="shared" si="14"/>
        <v>103366.4632302286</v>
      </c>
      <c r="V144" s="16">
        <f t="shared" si="15"/>
        <v>50988.658204617524</v>
      </c>
      <c r="W144" s="17">
        <f t="shared" si="16"/>
        <v>0.83869085137006372</v>
      </c>
      <c r="X144" s="17">
        <f t="shared" si="17"/>
        <v>0.38764932901951654</v>
      </c>
    </row>
    <row r="145" spans="14:24" x14ac:dyDescent="0.3">
      <c r="N145" s="10"/>
      <c r="O145" s="10"/>
      <c r="P145" s="10"/>
      <c r="Q145" s="11"/>
      <c r="R145" s="15">
        <f t="shared" si="18"/>
        <v>116201</v>
      </c>
      <c r="S145" s="15">
        <f t="shared" si="20"/>
        <v>115501</v>
      </c>
      <c r="T145" s="15">
        <f t="shared" si="19"/>
        <v>74061</v>
      </c>
      <c r="U145" s="16">
        <f t="shared" si="14"/>
        <v>-106193.12785742342</v>
      </c>
      <c r="V145" s="16">
        <f t="shared" si="15"/>
        <v>-44046.278696723857</v>
      </c>
      <c r="W145" s="17">
        <f t="shared" si="16"/>
        <v>-0.86599250915587422</v>
      </c>
      <c r="X145" s="17">
        <f t="shared" si="17"/>
        <v>-0.33929265406074371</v>
      </c>
    </row>
    <row r="146" spans="14:24" x14ac:dyDescent="0.3">
      <c r="N146" s="10"/>
      <c r="O146" s="10"/>
      <c r="P146" s="10"/>
      <c r="Q146" s="11"/>
      <c r="R146" s="15">
        <f t="shared" si="18"/>
        <v>117031</v>
      </c>
      <c r="S146" s="15">
        <f t="shared" si="20"/>
        <v>116326</v>
      </c>
      <c r="T146" s="15">
        <f t="shared" si="19"/>
        <v>74590</v>
      </c>
      <c r="U146" s="16">
        <f t="shared" si="14"/>
        <v>109476.59298394904</v>
      </c>
      <c r="V146" s="16">
        <f t="shared" si="15"/>
        <v>38505.389542341734</v>
      </c>
      <c r="W146" s="17">
        <f t="shared" si="16"/>
        <v>0.88839431026574878</v>
      </c>
      <c r="X146" s="17">
        <f t="shared" si="17"/>
        <v>0.29216221267514464</v>
      </c>
    </row>
    <row r="147" spans="14:24" x14ac:dyDescent="0.3">
      <c r="N147" s="10"/>
      <c r="O147" s="10"/>
      <c r="P147" s="10"/>
      <c r="Q147" s="11"/>
      <c r="R147" s="15">
        <f t="shared" si="18"/>
        <v>117861</v>
      </c>
      <c r="S147" s="15">
        <f t="shared" si="20"/>
        <v>117151</v>
      </c>
      <c r="T147" s="15">
        <f t="shared" si="19"/>
        <v>75119</v>
      </c>
      <c r="U147" s="16">
        <f t="shared" si="14"/>
        <v>-113624.0690009911</v>
      </c>
      <c r="V147" s="16">
        <f t="shared" si="15"/>
        <v>-31301.478482057515</v>
      </c>
      <c r="W147" s="17">
        <f t="shared" si="16"/>
        <v>-0.92644023982160661</v>
      </c>
      <c r="X147" s="17">
        <f t="shared" si="17"/>
        <v>-0.24180502851910454</v>
      </c>
    </row>
    <row r="148" spans="14:24" x14ac:dyDescent="0.3">
      <c r="N148" s="10"/>
      <c r="O148" s="10"/>
      <c r="P148" s="10"/>
      <c r="Q148" s="11"/>
      <c r="R148" s="15">
        <f t="shared" si="18"/>
        <v>118691</v>
      </c>
      <c r="S148" s="15">
        <f t="shared" si="20"/>
        <v>117976</v>
      </c>
      <c r="T148" s="15">
        <f t="shared" si="19"/>
        <v>75648</v>
      </c>
      <c r="U148" s="16">
        <f t="shared" si="14"/>
        <v>115551.23188509599</v>
      </c>
      <c r="V148" s="16">
        <f t="shared" si="15"/>
        <v>23149.417897267871</v>
      </c>
      <c r="W148" s="17">
        <f t="shared" si="16"/>
        <v>0.93780906528718533</v>
      </c>
      <c r="X148" s="17">
        <f t="shared" si="17"/>
        <v>0.17470119419324903</v>
      </c>
    </row>
    <row r="149" spans="14:24" x14ac:dyDescent="0.3">
      <c r="N149" s="10"/>
      <c r="O149" s="10"/>
      <c r="P149" s="10"/>
      <c r="Q149" s="11"/>
      <c r="R149" s="15">
        <f t="shared" si="18"/>
        <v>119521</v>
      </c>
      <c r="S149" s="15">
        <f t="shared" si="20"/>
        <v>118801</v>
      </c>
      <c r="T149" s="15">
        <f t="shared" si="19"/>
        <v>76177</v>
      </c>
      <c r="U149" s="16">
        <f t="shared" si="14"/>
        <v>-116972.46920940577</v>
      </c>
      <c r="V149" s="16">
        <f t="shared" si="15"/>
        <v>-16725.108211255072</v>
      </c>
      <c r="W149" s="17">
        <f t="shared" si="16"/>
        <v>-0.95367813473274243</v>
      </c>
      <c r="X149" s="17">
        <f t="shared" si="17"/>
        <v>-0.13030734297037327</v>
      </c>
    </row>
    <row r="150" spans="14:24" x14ac:dyDescent="0.3">
      <c r="N150" s="10"/>
      <c r="O150" s="10"/>
      <c r="P150" s="10"/>
      <c r="Q150" s="11"/>
      <c r="R150" s="15">
        <f t="shared" si="18"/>
        <v>120351</v>
      </c>
      <c r="S150" s="15">
        <f t="shared" si="20"/>
        <v>119626</v>
      </c>
      <c r="T150" s="15">
        <f t="shared" si="19"/>
        <v>76706</v>
      </c>
      <c r="U150" s="16">
        <f t="shared" si="14"/>
        <v>119757.35000548085</v>
      </c>
      <c r="V150" s="16">
        <f t="shared" si="15"/>
        <v>9489.6630017853549</v>
      </c>
      <c r="W150" s="17">
        <f t="shared" si="16"/>
        <v>0.97202415196020575</v>
      </c>
      <c r="X150" s="17">
        <f t="shared" si="17"/>
        <v>7.0214890146761078E-2</v>
      </c>
    </row>
    <row r="151" spans="14:24" x14ac:dyDescent="0.3">
      <c r="N151" s="10"/>
      <c r="O151" s="10"/>
      <c r="P151" s="10"/>
      <c r="Q151" s="11"/>
      <c r="R151" s="15">
        <f t="shared" si="18"/>
        <v>121181</v>
      </c>
      <c r="S151" s="15">
        <f t="shared" si="20"/>
        <v>120451</v>
      </c>
      <c r="T151" s="15">
        <f t="shared" si="19"/>
        <v>77235</v>
      </c>
      <c r="U151" s="16">
        <f t="shared" si="14"/>
        <v>-120804.44199703261</v>
      </c>
      <c r="V151" s="16">
        <f t="shared" si="15"/>
        <v>-603.34208822042172</v>
      </c>
      <c r="W151" s="17">
        <f t="shared" si="16"/>
        <v>-0.98484969894105123</v>
      </c>
      <c r="X151" s="17">
        <f t="shared" si="17"/>
        <v>-6.9886033746241237E-3</v>
      </c>
    </row>
    <row r="152" spans="14:24" x14ac:dyDescent="0.3">
      <c r="N152" s="10"/>
      <c r="O152" s="10"/>
      <c r="P152" s="10"/>
      <c r="Q152" s="11"/>
      <c r="R152" s="15">
        <f t="shared" si="18"/>
        <v>122011</v>
      </c>
      <c r="S152" s="15">
        <f t="shared" si="20"/>
        <v>121276</v>
      </c>
      <c r="T152" s="15">
        <f t="shared" si="19"/>
        <v>77764</v>
      </c>
      <c r="U152" s="16">
        <f t="shared" si="14"/>
        <v>120372.05136513998</v>
      </c>
      <c r="V152" s="16">
        <f t="shared" si="15"/>
        <v>-6683.140969965224</v>
      </c>
      <c r="W152" s="17">
        <f t="shared" si="16"/>
        <v>0.97702450137902708</v>
      </c>
      <c r="X152" s="17">
        <f t="shared" si="17"/>
        <v>-5.3494248560803377E-2</v>
      </c>
    </row>
    <row r="153" spans="14:24" x14ac:dyDescent="0.3">
      <c r="N153" s="10"/>
      <c r="O153" s="10"/>
      <c r="P153" s="10"/>
      <c r="Q153" s="11"/>
      <c r="R153" s="15">
        <f t="shared" si="18"/>
        <v>122841</v>
      </c>
      <c r="S153" s="15">
        <f t="shared" si="20"/>
        <v>122101</v>
      </c>
      <c r="T153" s="15">
        <f t="shared" si="19"/>
        <v>78293</v>
      </c>
      <c r="U153" s="16">
        <f t="shared" si="14"/>
        <v>-121390.46962612674</v>
      </c>
      <c r="V153" s="16">
        <f t="shared" si="15"/>
        <v>13728.68028644114</v>
      </c>
      <c r="W153" s="17">
        <f t="shared" si="16"/>
        <v>-0.98961679904341482</v>
      </c>
      <c r="X153" s="17">
        <f t="shared" si="17"/>
        <v>0.10264001433470256</v>
      </c>
    </row>
    <row r="154" spans="14:24" x14ac:dyDescent="0.3">
      <c r="N154" s="10"/>
      <c r="O154" s="10"/>
      <c r="P154" s="10"/>
      <c r="Q154" s="11"/>
      <c r="R154" s="15">
        <f t="shared" si="18"/>
        <v>123671</v>
      </c>
      <c r="S154" s="15">
        <f t="shared" si="20"/>
        <v>122926</v>
      </c>
      <c r="T154" s="15">
        <f t="shared" si="19"/>
        <v>78822</v>
      </c>
      <c r="U154" s="16">
        <f t="shared" si="14"/>
        <v>121502.01882434463</v>
      </c>
      <c r="V154" s="16">
        <f t="shared" si="15"/>
        <v>-22780.315760456131</v>
      </c>
      <c r="W154" s="17">
        <f t="shared" si="16"/>
        <v>0.98621633419204424</v>
      </c>
      <c r="X154" s="17">
        <f t="shared" si="17"/>
        <v>-0.17662488394320944</v>
      </c>
    </row>
    <row r="155" spans="14:24" x14ac:dyDescent="0.3">
      <c r="N155" s="10"/>
      <c r="O155" s="10"/>
      <c r="P155" s="10"/>
      <c r="Q155" s="11"/>
      <c r="R155" s="15">
        <f t="shared" si="18"/>
        <v>124501</v>
      </c>
      <c r="S155" s="15">
        <f t="shared" si="20"/>
        <v>123751</v>
      </c>
      <c r="T155" s="15">
        <f t="shared" si="19"/>
        <v>79351</v>
      </c>
      <c r="U155" s="16">
        <f t="shared" si="14"/>
        <v>-119381.52800370753</v>
      </c>
      <c r="V155" s="16">
        <f t="shared" si="15"/>
        <v>30782.887466307075</v>
      </c>
      <c r="W155" s="17">
        <f t="shared" si="16"/>
        <v>-0.97327486337618208</v>
      </c>
      <c r="X155" s="17">
        <f t="shared" si="17"/>
        <v>0.23309118935956197</v>
      </c>
    </row>
    <row r="156" spans="14:24" x14ac:dyDescent="0.3">
      <c r="N156" s="10"/>
      <c r="O156" s="10"/>
      <c r="P156" s="10"/>
      <c r="Q156" s="11"/>
      <c r="R156" s="15">
        <f t="shared" si="18"/>
        <v>125331</v>
      </c>
      <c r="S156" s="15">
        <f t="shared" si="20"/>
        <v>124576</v>
      </c>
      <c r="T156" s="15">
        <f t="shared" si="19"/>
        <v>79880</v>
      </c>
      <c r="U156" s="16">
        <f t="shared" si="14"/>
        <v>118340.40118632381</v>
      </c>
      <c r="V156" s="16">
        <f t="shared" si="15"/>
        <v>-37524.461246644452</v>
      </c>
      <c r="W156" s="17">
        <f t="shared" si="16"/>
        <v>0.96049784069858668</v>
      </c>
      <c r="X156" s="17">
        <f t="shared" si="17"/>
        <v>-0.28940591698246348</v>
      </c>
    </row>
    <row r="157" spans="14:24" x14ac:dyDescent="0.3">
      <c r="N157" s="10"/>
      <c r="O157" s="10"/>
      <c r="P157" s="10"/>
      <c r="Q157" s="11"/>
      <c r="R157" s="15">
        <f t="shared" si="18"/>
        <v>126161</v>
      </c>
      <c r="S157" s="15">
        <f t="shared" si="20"/>
        <v>125401</v>
      </c>
      <c r="T157" s="15">
        <f t="shared" si="19"/>
        <v>80409</v>
      </c>
      <c r="U157" s="16">
        <f t="shared" si="14"/>
        <v>-117374.83910438724</v>
      </c>
      <c r="V157" s="16">
        <f t="shared" si="15"/>
        <v>46157.449417037118</v>
      </c>
      <c r="W157" s="17">
        <f t="shared" si="16"/>
        <v>-0.95695125270931169</v>
      </c>
      <c r="X157" s="17">
        <f t="shared" si="17"/>
        <v>0.35069440895296883</v>
      </c>
    </row>
    <row r="158" spans="14:24" x14ac:dyDescent="0.3">
      <c r="N158" s="10"/>
      <c r="O158" s="10"/>
      <c r="P158" s="10"/>
      <c r="Q158" s="11"/>
      <c r="R158" s="15">
        <f t="shared" si="18"/>
        <v>126991</v>
      </c>
      <c r="S158" s="15">
        <f t="shared" si="20"/>
        <v>126226</v>
      </c>
      <c r="T158" s="15">
        <f t="shared" si="19"/>
        <v>80938</v>
      </c>
      <c r="U158" s="16">
        <f t="shared" si="14"/>
        <v>113836.16293594557</v>
      </c>
      <c r="V158" s="16">
        <f t="shared" si="15"/>
        <v>-54575.821589975749</v>
      </c>
      <c r="W158" s="17">
        <f t="shared" si="16"/>
        <v>0.92385766614292686</v>
      </c>
      <c r="X158" s="17">
        <f t="shared" si="17"/>
        <v>-0.41983531596302309</v>
      </c>
    </row>
    <row r="159" spans="14:24" x14ac:dyDescent="0.3">
      <c r="N159" s="10"/>
      <c r="O159" s="10"/>
      <c r="P159" s="10"/>
      <c r="Q159" s="11"/>
      <c r="R159" s="15">
        <f t="shared" si="18"/>
        <v>127821</v>
      </c>
      <c r="S159" s="15">
        <f t="shared" si="20"/>
        <v>127051</v>
      </c>
      <c r="T159" s="15">
        <f t="shared" si="19"/>
        <v>81467</v>
      </c>
      <c r="U159" s="16">
        <f t="shared" si="14"/>
        <v>-110616.40466935016</v>
      </c>
      <c r="V159" s="16">
        <f t="shared" si="15"/>
        <v>60977.587081082194</v>
      </c>
      <c r="W159" s="17">
        <f t="shared" si="16"/>
        <v>-0.90197409482874313</v>
      </c>
      <c r="X159" s="17">
        <f t="shared" si="17"/>
        <v>0.46405672195379244</v>
      </c>
    </row>
    <row r="160" spans="14:24" x14ac:dyDescent="0.3">
      <c r="N160" s="10"/>
      <c r="O160" s="10"/>
      <c r="P160" s="10"/>
      <c r="Q160" s="11"/>
      <c r="R160" s="15">
        <f t="shared" si="18"/>
        <v>128651</v>
      </c>
      <c r="S160" s="15">
        <f t="shared" si="20"/>
        <v>127876</v>
      </c>
      <c r="T160" s="15">
        <f t="shared" si="19"/>
        <v>81996</v>
      </c>
      <c r="U160" s="16">
        <f t="shared" si="14"/>
        <v>108367.70429319741</v>
      </c>
      <c r="V160" s="16">
        <f t="shared" si="15"/>
        <v>-68674.056558463853</v>
      </c>
      <c r="W160" s="17">
        <f t="shared" si="16"/>
        <v>0.87937394479362374</v>
      </c>
      <c r="X160" s="17">
        <f t="shared" si="17"/>
        <v>-0.52767564521544941</v>
      </c>
    </row>
    <row r="161" spans="14:24" x14ac:dyDescent="0.3">
      <c r="N161" s="10"/>
      <c r="O161" s="10"/>
      <c r="P161" s="10"/>
      <c r="Q161" s="11"/>
      <c r="R161" s="15">
        <f t="shared" si="18"/>
        <v>129481</v>
      </c>
      <c r="S161" s="15">
        <f t="shared" si="20"/>
        <v>128701</v>
      </c>
      <c r="T161" s="15">
        <f t="shared" si="19"/>
        <v>82525</v>
      </c>
      <c r="U161" s="16">
        <f t="shared" si="14"/>
        <v>-103716.72644070059</v>
      </c>
      <c r="V161" s="16">
        <f t="shared" si="15"/>
        <v>77057.955694631964</v>
      </c>
      <c r="W161" s="17">
        <f t="shared" si="16"/>
        <v>-0.8458479752447321</v>
      </c>
      <c r="X161" s="17">
        <f t="shared" si="17"/>
        <v>0.58705880339601679</v>
      </c>
    </row>
    <row r="162" spans="14:24" x14ac:dyDescent="0.3">
      <c r="N162" s="10"/>
      <c r="O162" s="10"/>
      <c r="P162" s="10"/>
      <c r="Q162" s="11"/>
      <c r="R162" s="15">
        <f t="shared" si="18"/>
        <v>130311</v>
      </c>
      <c r="S162" s="15">
        <f t="shared" si="20"/>
        <v>129526</v>
      </c>
      <c r="T162" s="15">
        <f t="shared" si="19"/>
        <v>83054</v>
      </c>
      <c r="U162" s="16">
        <f t="shared" si="14"/>
        <v>98408.252201904164</v>
      </c>
      <c r="V162" s="16">
        <f t="shared" si="15"/>
        <v>-83109.752897225218</v>
      </c>
      <c r="W162" s="17">
        <f t="shared" si="16"/>
        <v>0.79835779004801899</v>
      </c>
      <c r="X162" s="17">
        <f t="shared" si="17"/>
        <v>-0.63809728662231102</v>
      </c>
    </row>
    <row r="163" spans="14:24" x14ac:dyDescent="0.3">
      <c r="N163" s="10"/>
      <c r="O163" s="10"/>
      <c r="P163" s="10"/>
      <c r="Q163" s="11"/>
      <c r="R163" s="15">
        <f t="shared" si="18"/>
        <v>131141</v>
      </c>
      <c r="S163" s="15">
        <f t="shared" si="20"/>
        <v>130351</v>
      </c>
      <c r="T163" s="15">
        <f t="shared" si="19"/>
        <v>83583</v>
      </c>
      <c r="U163" s="16">
        <f t="shared" si="14"/>
        <v>-94657.168604021921</v>
      </c>
      <c r="V163" s="16">
        <f t="shared" si="15"/>
        <v>89483.936710923575</v>
      </c>
      <c r="W163" s="17">
        <f t="shared" si="16"/>
        <v>-0.77215209991994738</v>
      </c>
      <c r="X163" s="17">
        <f t="shared" si="17"/>
        <v>0.68210771463039876</v>
      </c>
    </row>
    <row r="164" spans="14:24" x14ac:dyDescent="0.3">
      <c r="N164" s="10"/>
      <c r="O164" s="10"/>
      <c r="P164" s="10"/>
      <c r="Q164" s="11"/>
      <c r="R164" s="15">
        <f t="shared" si="18"/>
        <v>131971</v>
      </c>
      <c r="S164" s="15">
        <f t="shared" si="20"/>
        <v>131176</v>
      </c>
      <c r="T164" s="15">
        <f t="shared" si="19"/>
        <v>84112</v>
      </c>
      <c r="U164" s="16">
        <f t="shared" si="14"/>
        <v>89168.552911353807</v>
      </c>
      <c r="V164" s="16">
        <f t="shared" si="15"/>
        <v>-97273.675903054289</v>
      </c>
      <c r="W164" s="17">
        <f t="shared" si="16"/>
        <v>0.72319653612919232</v>
      </c>
      <c r="X164" s="17">
        <f t="shared" si="17"/>
        <v>-0.74644007732403428</v>
      </c>
    </row>
    <row r="165" spans="14:24" x14ac:dyDescent="0.3">
      <c r="N165" s="10"/>
      <c r="O165" s="10"/>
      <c r="P165" s="10"/>
      <c r="Q165" s="11"/>
      <c r="R165" s="15">
        <f t="shared" si="18"/>
        <v>132801</v>
      </c>
      <c r="S165" s="15">
        <f t="shared" si="20"/>
        <v>132001</v>
      </c>
      <c r="T165" s="15">
        <f t="shared" si="19"/>
        <v>84641</v>
      </c>
      <c r="U165" s="16">
        <f t="shared" ref="U165:U228" si="21">(R165-S165)*COS(T165)+S165*COS((R165/S165-1)*T165)</f>
        <v>-82067.770288738015</v>
      </c>
      <c r="V165" s="16">
        <f t="shared" ref="V165:V228" si="22">(R165-S165)*SIN(T165)-S165*SIN((R165/S165-1)*T165)</f>
        <v>102929.82648353858</v>
      </c>
      <c r="W165" s="17">
        <f t="shared" si="16"/>
        <v>-0.66974238573930966</v>
      </c>
      <c r="X165" s="17">
        <f t="shared" si="17"/>
        <v>0.78495811990536013</v>
      </c>
    </row>
    <row r="166" spans="14:24" x14ac:dyDescent="0.3">
      <c r="N166" s="10"/>
      <c r="O166" s="10"/>
      <c r="P166" s="10"/>
      <c r="Q166" s="11"/>
      <c r="R166" s="15">
        <f t="shared" si="18"/>
        <v>133631</v>
      </c>
      <c r="S166" s="15">
        <f t="shared" si="20"/>
        <v>132826</v>
      </c>
      <c r="T166" s="15">
        <f t="shared" si="19"/>
        <v>85170</v>
      </c>
      <c r="U166" s="16">
        <f t="shared" si="21"/>
        <v>76651.438442492989</v>
      </c>
      <c r="V166" s="16">
        <f t="shared" si="22"/>
        <v>-107764.5354066219</v>
      </c>
      <c r="W166" s="17">
        <f t="shared" si="16"/>
        <v>0.62137482209492212</v>
      </c>
      <c r="X166" s="17">
        <f t="shared" si="17"/>
        <v>-0.82668684193920805</v>
      </c>
    </row>
    <row r="167" spans="14:24" x14ac:dyDescent="0.3">
      <c r="N167" s="10"/>
      <c r="O167" s="10"/>
      <c r="P167" s="10"/>
      <c r="Q167" s="11"/>
      <c r="R167" s="15">
        <f t="shared" si="18"/>
        <v>134461</v>
      </c>
      <c r="S167" s="15">
        <f t="shared" si="20"/>
        <v>133651</v>
      </c>
      <c r="T167" s="15">
        <f t="shared" si="19"/>
        <v>85699</v>
      </c>
      <c r="U167" s="16">
        <f t="shared" si="21"/>
        <v>-70519.62396135465</v>
      </c>
      <c r="V167" s="16">
        <f t="shared" si="22"/>
        <v>114361.87083678317</v>
      </c>
      <c r="W167" s="17">
        <f t="shared" si="16"/>
        <v>-0.57580283953655365</v>
      </c>
      <c r="X167" s="17">
        <f t="shared" si="17"/>
        <v>0.87240420303830757</v>
      </c>
    </row>
    <row r="168" spans="14:24" x14ac:dyDescent="0.3">
      <c r="N168" s="10"/>
      <c r="O168" s="10"/>
      <c r="P168" s="10"/>
      <c r="Q168" s="11"/>
      <c r="R168" s="15">
        <f t="shared" si="18"/>
        <v>135291</v>
      </c>
      <c r="S168" s="15">
        <f t="shared" si="20"/>
        <v>134476</v>
      </c>
      <c r="T168" s="15">
        <f t="shared" si="19"/>
        <v>86228</v>
      </c>
      <c r="U168" s="16">
        <f t="shared" si="21"/>
        <v>62088.582888130572</v>
      </c>
      <c r="V168" s="16">
        <f t="shared" si="22"/>
        <v>-119488.83884867886</v>
      </c>
      <c r="W168" s="17">
        <f t="shared" si="16"/>
        <v>0.50291182349668184</v>
      </c>
      <c r="X168" s="17">
        <f t="shared" si="17"/>
        <v>-0.91636847558149137</v>
      </c>
    </row>
    <row r="169" spans="14:24" x14ac:dyDescent="0.3">
      <c r="N169" s="10"/>
      <c r="O169" s="10"/>
      <c r="P169" s="10"/>
      <c r="Q169" s="11"/>
      <c r="R169" s="15">
        <f t="shared" si="18"/>
        <v>136121</v>
      </c>
      <c r="S169" s="15">
        <f t="shared" si="20"/>
        <v>135301</v>
      </c>
      <c r="T169" s="15">
        <f t="shared" si="19"/>
        <v>86757</v>
      </c>
      <c r="U169" s="16">
        <f t="shared" si="21"/>
        <v>-54971.689775025414</v>
      </c>
      <c r="V169" s="16">
        <f t="shared" si="22"/>
        <v>122734.82347367302</v>
      </c>
      <c r="W169" s="17">
        <f t="shared" si="16"/>
        <v>-0.44932662071771684</v>
      </c>
      <c r="X169" s="17">
        <f t="shared" si="17"/>
        <v>0.936450657874349</v>
      </c>
    </row>
    <row r="170" spans="14:24" x14ac:dyDescent="0.3">
      <c r="N170" s="10"/>
      <c r="O170" s="10"/>
      <c r="P170" s="10"/>
      <c r="Q170" s="11"/>
      <c r="R170" s="15">
        <f t="shared" si="18"/>
        <v>136951</v>
      </c>
      <c r="S170" s="15">
        <f t="shared" si="20"/>
        <v>136126</v>
      </c>
      <c r="T170" s="15">
        <f t="shared" si="19"/>
        <v>87286</v>
      </c>
      <c r="U170" s="16">
        <f t="shared" si="21"/>
        <v>48292.601392382858</v>
      </c>
      <c r="V170" s="16">
        <f t="shared" si="22"/>
        <v>-127590.26675496825</v>
      </c>
      <c r="W170" s="17">
        <f t="shared" si="16"/>
        <v>0.39068703828946055</v>
      </c>
      <c r="X170" s="17">
        <f t="shared" si="17"/>
        <v>-0.97833798132329663</v>
      </c>
    </row>
    <row r="171" spans="14:24" x14ac:dyDescent="0.3">
      <c r="N171" s="10"/>
      <c r="O171" s="10"/>
      <c r="P171" s="10"/>
      <c r="Q171" s="11"/>
      <c r="R171" s="15">
        <f t="shared" si="18"/>
        <v>137781</v>
      </c>
      <c r="S171" s="15">
        <f t="shared" si="20"/>
        <v>136951</v>
      </c>
      <c r="T171" s="15">
        <f t="shared" si="19"/>
        <v>87815</v>
      </c>
      <c r="U171" s="16">
        <f t="shared" si="21"/>
        <v>-39087.972961141924</v>
      </c>
      <c r="V171" s="16">
        <f t="shared" si="22"/>
        <v>131939.15254488031</v>
      </c>
      <c r="W171" s="17">
        <f t="shared" si="16"/>
        <v>-0.32011894467960156</v>
      </c>
      <c r="X171" s="17">
        <f t="shared" si="17"/>
        <v>1.0068564838380456</v>
      </c>
    </row>
    <row r="172" spans="14:24" x14ac:dyDescent="0.3">
      <c r="N172" s="10"/>
      <c r="O172" s="10"/>
      <c r="P172" s="10"/>
      <c r="Q172" s="11"/>
      <c r="R172" s="15">
        <f t="shared" si="18"/>
        <v>138611</v>
      </c>
      <c r="S172" s="15">
        <f t="shared" si="20"/>
        <v>137776</v>
      </c>
      <c r="T172" s="15">
        <f t="shared" si="19"/>
        <v>88344</v>
      </c>
      <c r="U172" s="16">
        <f t="shared" si="21"/>
        <v>30417.16188911174</v>
      </c>
      <c r="V172" s="16">
        <f t="shared" si="22"/>
        <v>-133678.70179951616</v>
      </c>
      <c r="W172" s="17">
        <f t="shared" si="16"/>
        <v>0.24527749570942722</v>
      </c>
      <c r="X172" s="17">
        <f t="shared" si="17"/>
        <v>-1.0249096863135752</v>
      </c>
    </row>
    <row r="173" spans="14:24" x14ac:dyDescent="0.3">
      <c r="N173" s="10"/>
      <c r="O173" s="10"/>
      <c r="P173" s="10"/>
      <c r="Q173" s="11"/>
      <c r="R173" s="15">
        <f t="shared" si="18"/>
        <v>139441</v>
      </c>
      <c r="S173" s="15">
        <f t="shared" si="20"/>
        <v>138601</v>
      </c>
      <c r="T173" s="15">
        <f t="shared" si="19"/>
        <v>88873</v>
      </c>
      <c r="U173" s="16">
        <f t="shared" si="21"/>
        <v>-23205.449577429914</v>
      </c>
      <c r="V173" s="16">
        <f t="shared" si="22"/>
        <v>136376.75826842472</v>
      </c>
      <c r="W173" s="17">
        <f t="shared" si="16"/>
        <v>-0.19092097671805158</v>
      </c>
      <c r="X173" s="17">
        <f t="shared" si="17"/>
        <v>1.0408006522668682</v>
      </c>
    </row>
    <row r="174" spans="14:24" x14ac:dyDescent="0.3">
      <c r="N174" s="10"/>
      <c r="O174" s="10"/>
      <c r="P174" s="10"/>
      <c r="Q174" s="11"/>
      <c r="R174" s="15">
        <f t="shared" si="18"/>
        <v>140271</v>
      </c>
      <c r="S174" s="15">
        <f t="shared" si="20"/>
        <v>139426</v>
      </c>
      <c r="T174" s="15">
        <f t="shared" si="19"/>
        <v>89402</v>
      </c>
      <c r="U174" s="16">
        <f t="shared" si="21"/>
        <v>13792.792438375975</v>
      </c>
      <c r="V174" s="16">
        <f t="shared" si="22"/>
        <v>-139590.88429966831</v>
      </c>
      <c r="W174" s="17">
        <f t="shared" si="16"/>
        <v>0.11004490704660828</v>
      </c>
      <c r="X174" s="17">
        <f t="shared" si="17"/>
        <v>-1.0701331989619258</v>
      </c>
    </row>
    <row r="175" spans="14:24" x14ac:dyDescent="0.3">
      <c r="N175" s="10"/>
      <c r="O175" s="10"/>
      <c r="P175" s="10"/>
      <c r="Q175" s="11"/>
      <c r="R175" s="15">
        <f t="shared" si="18"/>
        <v>141101</v>
      </c>
      <c r="S175" s="15">
        <f t="shared" si="20"/>
        <v>140251</v>
      </c>
      <c r="T175" s="15">
        <f t="shared" si="19"/>
        <v>89931</v>
      </c>
      <c r="U175" s="16">
        <f t="shared" si="21"/>
        <v>-3918.9334609414827</v>
      </c>
      <c r="V175" s="16">
        <f t="shared" si="22"/>
        <v>139975.80820459736</v>
      </c>
      <c r="W175" s="17">
        <f t="shared" si="16"/>
        <v>-3.4032890920338794E-2</v>
      </c>
      <c r="X175" s="17">
        <f t="shared" si="17"/>
        <v>1.0683305332044679</v>
      </c>
    </row>
    <row r="176" spans="14:24" x14ac:dyDescent="0.3">
      <c r="N176" s="10"/>
      <c r="O176" s="10"/>
      <c r="P176" s="10"/>
      <c r="Q176" s="11"/>
      <c r="R176" s="15">
        <f t="shared" si="18"/>
        <v>141931</v>
      </c>
      <c r="S176" s="15">
        <f t="shared" si="20"/>
        <v>141076</v>
      </c>
      <c r="T176" s="15">
        <f t="shared" si="19"/>
        <v>90460</v>
      </c>
      <c r="U176" s="16">
        <f t="shared" si="21"/>
        <v>-3843.6281984035654</v>
      </c>
      <c r="V176" s="16">
        <f t="shared" si="22"/>
        <v>-140299.25548824418</v>
      </c>
      <c r="W176" s="17">
        <f t="shared" si="16"/>
        <v>-3.3420312763728775E-2</v>
      </c>
      <c r="X176" s="17">
        <f t="shared" si="17"/>
        <v>-1.075551677401227</v>
      </c>
    </row>
    <row r="177" spans="14:24" x14ac:dyDescent="0.3">
      <c r="N177" s="10"/>
      <c r="O177" s="10"/>
      <c r="P177" s="10"/>
      <c r="Q177" s="11"/>
      <c r="R177" s="15">
        <f t="shared" si="18"/>
        <v>142761</v>
      </c>
      <c r="S177" s="15">
        <f t="shared" si="20"/>
        <v>141901</v>
      </c>
      <c r="T177" s="15">
        <f t="shared" si="19"/>
        <v>90989</v>
      </c>
      <c r="U177" s="16">
        <f t="shared" si="21"/>
        <v>12971.129756142178</v>
      </c>
      <c r="V177" s="16">
        <f t="shared" si="22"/>
        <v>141958.51664070337</v>
      </c>
      <c r="W177" s="17">
        <f t="shared" si="16"/>
        <v>0.10336101014120151</v>
      </c>
      <c r="X177" s="17">
        <f t="shared" si="17"/>
        <v>1.0834966820904206</v>
      </c>
    </row>
    <row r="178" spans="14:24" x14ac:dyDescent="0.3">
      <c r="N178" s="10"/>
      <c r="O178" s="10"/>
      <c r="P178" s="10"/>
      <c r="Q178" s="11"/>
      <c r="R178" s="15">
        <f t="shared" si="18"/>
        <v>143591</v>
      </c>
      <c r="S178" s="15">
        <f t="shared" si="20"/>
        <v>142726</v>
      </c>
      <c r="T178" s="15">
        <f t="shared" si="19"/>
        <v>91518</v>
      </c>
      <c r="U178" s="16">
        <f t="shared" si="21"/>
        <v>-23511.218591210134</v>
      </c>
      <c r="V178" s="16">
        <f t="shared" si="22"/>
        <v>-141139.14212041956</v>
      </c>
      <c r="W178" s="17">
        <f t="shared" si="16"/>
        <v>-0.19340828520749004</v>
      </c>
      <c r="X178" s="17">
        <f t="shared" si="17"/>
        <v>-1.0819761448009371</v>
      </c>
    </row>
    <row r="179" spans="14:24" x14ac:dyDescent="0.3">
      <c r="N179" s="10"/>
      <c r="O179" s="10"/>
      <c r="P179" s="10"/>
      <c r="Q179" s="11"/>
      <c r="R179" s="15">
        <f t="shared" si="18"/>
        <v>144421</v>
      </c>
      <c r="S179" s="15">
        <f t="shared" si="20"/>
        <v>143551</v>
      </c>
      <c r="T179" s="15">
        <f t="shared" si="19"/>
        <v>92047</v>
      </c>
      <c r="U179" s="16">
        <f t="shared" si="21"/>
        <v>31808.918115759217</v>
      </c>
      <c r="V179" s="16">
        <f t="shared" si="22"/>
        <v>139097.7009785455</v>
      </c>
      <c r="W179" s="17">
        <f t="shared" si="16"/>
        <v>0.2565988753187336</v>
      </c>
      <c r="X179" s="17">
        <f t="shared" si="17"/>
        <v>1.0616137085389672</v>
      </c>
    </row>
    <row r="180" spans="14:24" x14ac:dyDescent="0.3">
      <c r="N180" s="10"/>
      <c r="O180" s="10"/>
      <c r="P180" s="10"/>
      <c r="Q180" s="11"/>
      <c r="R180" s="15">
        <f t="shared" si="18"/>
        <v>145251</v>
      </c>
      <c r="S180" s="15">
        <f t="shared" si="20"/>
        <v>144376</v>
      </c>
      <c r="T180" s="15">
        <f t="shared" si="19"/>
        <v>92576</v>
      </c>
      <c r="U180" s="16">
        <f t="shared" si="21"/>
        <v>-40288.935513587465</v>
      </c>
      <c r="V180" s="16">
        <f t="shared" si="22"/>
        <v>-138791.94232958107</v>
      </c>
      <c r="W180" s="17">
        <f t="shared" si="16"/>
        <v>-0.3298882941478985</v>
      </c>
      <c r="X180" s="17">
        <f t="shared" si="17"/>
        <v>-1.0640219257918895</v>
      </c>
    </row>
    <row r="181" spans="14:24" x14ac:dyDescent="0.3">
      <c r="N181" s="10"/>
      <c r="O181" s="10"/>
      <c r="P181" s="10"/>
      <c r="Q181" s="11"/>
      <c r="R181" s="15">
        <f t="shared" si="18"/>
        <v>146081</v>
      </c>
      <c r="S181" s="15">
        <f t="shared" si="20"/>
        <v>145201</v>
      </c>
      <c r="T181" s="15">
        <f t="shared" si="19"/>
        <v>93105</v>
      </c>
      <c r="U181" s="16">
        <f t="shared" si="21"/>
        <v>50830.380849310044</v>
      </c>
      <c r="V181" s="16">
        <f t="shared" si="22"/>
        <v>136856.22030454109</v>
      </c>
      <c r="W181" s="17">
        <f t="shared" si="16"/>
        <v>0.41133085798034197</v>
      </c>
      <c r="X181" s="17">
        <f t="shared" si="17"/>
        <v>1.0444681570257546</v>
      </c>
    </row>
    <row r="182" spans="14:24" x14ac:dyDescent="0.3">
      <c r="N182" s="10"/>
      <c r="O182" s="10"/>
      <c r="P182" s="10"/>
      <c r="Q182" s="11"/>
      <c r="R182" s="15">
        <f t="shared" si="18"/>
        <v>146911</v>
      </c>
      <c r="S182" s="15">
        <f t="shared" si="20"/>
        <v>146026</v>
      </c>
      <c r="T182" s="15">
        <f t="shared" si="19"/>
        <v>93634</v>
      </c>
      <c r="U182" s="16">
        <f t="shared" si="21"/>
        <v>-59546.528133838212</v>
      </c>
      <c r="V182" s="16">
        <f t="shared" si="22"/>
        <v>-132672.9125020662</v>
      </c>
      <c r="W182" s="17">
        <f t="shared" si="16"/>
        <v>-0.48654109888541874</v>
      </c>
      <c r="X182" s="17">
        <f t="shared" si="17"/>
        <v>-1.0172161949483081</v>
      </c>
    </row>
    <row r="183" spans="14:24" x14ac:dyDescent="0.3">
      <c r="N183" s="10"/>
      <c r="O183" s="10"/>
      <c r="P183" s="10"/>
      <c r="Q183" s="11"/>
      <c r="R183" s="15">
        <f t="shared" si="18"/>
        <v>147741</v>
      </c>
      <c r="S183" s="15">
        <f t="shared" si="20"/>
        <v>146851</v>
      </c>
      <c r="T183" s="15">
        <f t="shared" si="19"/>
        <v>94163</v>
      </c>
      <c r="U183" s="16">
        <f t="shared" si="21"/>
        <v>67170.377229510705</v>
      </c>
      <c r="V183" s="16">
        <f t="shared" si="22"/>
        <v>130088.69569314171</v>
      </c>
      <c r="W183" s="17">
        <f t="shared" si="16"/>
        <v>0.54425018558454341</v>
      </c>
      <c r="X183" s="17">
        <f t="shared" si="17"/>
        <v>0.99270195480622447</v>
      </c>
    </row>
    <row r="184" spans="14:24" x14ac:dyDescent="0.3">
      <c r="N184" s="10"/>
      <c r="O184" s="10"/>
      <c r="P184" s="10"/>
      <c r="Q184" s="11"/>
      <c r="R184" s="15">
        <f t="shared" si="18"/>
        <v>148571</v>
      </c>
      <c r="S184" s="15">
        <f t="shared" si="20"/>
        <v>147676</v>
      </c>
      <c r="T184" s="15">
        <f t="shared" si="19"/>
        <v>94692</v>
      </c>
      <c r="U184" s="16">
        <f t="shared" si="21"/>
        <v>-77007.303017888073</v>
      </c>
      <c r="V184" s="16">
        <f t="shared" si="22"/>
        <v>-127028.23288225038</v>
      </c>
      <c r="W184" s="17">
        <f t="shared" si="16"/>
        <v>-0.62857751083031155</v>
      </c>
      <c r="X184" s="17">
        <f t="shared" si="17"/>
        <v>-0.97403886742567858</v>
      </c>
    </row>
    <row r="185" spans="14:24" x14ac:dyDescent="0.3">
      <c r="N185" s="10"/>
      <c r="O185" s="10"/>
      <c r="P185" s="10"/>
      <c r="Q185" s="11"/>
      <c r="R185" s="15">
        <f t="shared" si="18"/>
        <v>149401</v>
      </c>
      <c r="S185" s="15">
        <f t="shared" si="20"/>
        <v>148501</v>
      </c>
      <c r="T185" s="15">
        <f t="shared" si="19"/>
        <v>95221</v>
      </c>
      <c r="U185" s="16">
        <f t="shared" si="21"/>
        <v>85876.158503732833</v>
      </c>
      <c r="V185" s="16">
        <f t="shared" si="22"/>
        <v>121086.52799745173</v>
      </c>
      <c r="W185" s="17">
        <f t="shared" si="16"/>
        <v>0.69641422598137093</v>
      </c>
      <c r="X185" s="17">
        <f t="shared" si="17"/>
        <v>0.92384250321823103</v>
      </c>
    </row>
    <row r="186" spans="14:24" x14ac:dyDescent="0.3">
      <c r="N186" s="10"/>
      <c r="O186" s="10"/>
      <c r="P186" s="10"/>
      <c r="Q186" s="11"/>
      <c r="R186" s="15">
        <f t="shared" si="18"/>
        <v>150231</v>
      </c>
      <c r="S186" s="15">
        <f t="shared" si="20"/>
        <v>149326</v>
      </c>
      <c r="T186" s="15">
        <f t="shared" si="19"/>
        <v>95750</v>
      </c>
      <c r="U186" s="16">
        <f t="shared" si="21"/>
        <v>-92571.693016433113</v>
      </c>
      <c r="V186" s="16">
        <f t="shared" si="22"/>
        <v>-116087.29002416988</v>
      </c>
      <c r="W186" s="17">
        <f t="shared" si="16"/>
        <v>-0.75518759109219957</v>
      </c>
      <c r="X186" s="17">
        <f t="shared" si="17"/>
        <v>-0.89034932169285463</v>
      </c>
    </row>
    <row r="187" spans="14:24" x14ac:dyDescent="0.3">
      <c r="N187" s="10"/>
      <c r="O187" s="10"/>
      <c r="P187" s="10"/>
      <c r="Q187" s="11"/>
      <c r="R187" s="15">
        <f t="shared" si="18"/>
        <v>151061</v>
      </c>
      <c r="S187" s="15">
        <f t="shared" si="20"/>
        <v>150151</v>
      </c>
      <c r="T187" s="15">
        <f t="shared" si="19"/>
        <v>96279</v>
      </c>
      <c r="U187" s="16">
        <f t="shared" si="21"/>
        <v>101055.64268003017</v>
      </c>
      <c r="V187" s="16">
        <f t="shared" si="22"/>
        <v>111800.50370964229</v>
      </c>
      <c r="W187" s="17">
        <f t="shared" si="16"/>
        <v>0.81989325150532155</v>
      </c>
      <c r="X187" s="17">
        <f t="shared" si="17"/>
        <v>0.85281177356436222</v>
      </c>
    </row>
    <row r="188" spans="14:24" x14ac:dyDescent="0.3">
      <c r="N188" s="10"/>
      <c r="O188" s="10"/>
      <c r="P188" s="10"/>
      <c r="Q188" s="11"/>
      <c r="R188" s="15">
        <f t="shared" si="18"/>
        <v>151891</v>
      </c>
      <c r="S188" s="15">
        <f t="shared" si="20"/>
        <v>150976</v>
      </c>
      <c r="T188" s="15">
        <f t="shared" si="19"/>
        <v>96808</v>
      </c>
      <c r="U188" s="16">
        <f t="shared" si="21"/>
        <v>-109648.69699357057</v>
      </c>
      <c r="V188" s="16">
        <f t="shared" si="22"/>
        <v>-104564.66394516169</v>
      </c>
      <c r="W188" s="17">
        <f t="shared" si="16"/>
        <v>-0.89410218038095868</v>
      </c>
      <c r="X188" s="17">
        <f t="shared" si="17"/>
        <v>-0.80221036011431213</v>
      </c>
    </row>
    <row r="189" spans="14:24" x14ac:dyDescent="0.3">
      <c r="N189" s="10"/>
      <c r="O189" s="10"/>
      <c r="P189" s="10"/>
      <c r="Q189" s="11"/>
      <c r="R189" s="15">
        <f t="shared" si="18"/>
        <v>152721</v>
      </c>
      <c r="S189" s="15">
        <f t="shared" si="20"/>
        <v>151801</v>
      </c>
      <c r="T189" s="15">
        <f t="shared" si="19"/>
        <v>97337</v>
      </c>
      <c r="U189" s="16">
        <f t="shared" si="21"/>
        <v>115429.05267407148</v>
      </c>
      <c r="V189" s="16">
        <f t="shared" si="22"/>
        <v>97244.682774874382</v>
      </c>
      <c r="W189" s="17">
        <f t="shared" si="16"/>
        <v>0.93681518632915406</v>
      </c>
      <c r="X189" s="17">
        <f t="shared" si="17"/>
        <v>0.74147127415764347</v>
      </c>
    </row>
    <row r="190" spans="14:24" x14ac:dyDescent="0.3">
      <c r="N190" s="10"/>
      <c r="O190" s="10"/>
      <c r="P190" s="10"/>
      <c r="Q190" s="11"/>
      <c r="R190" s="15">
        <f t="shared" si="18"/>
        <v>153551</v>
      </c>
      <c r="S190" s="15">
        <f t="shared" si="20"/>
        <v>152626</v>
      </c>
      <c r="T190" s="15">
        <f t="shared" si="19"/>
        <v>97866</v>
      </c>
      <c r="U190" s="16">
        <f t="shared" si="21"/>
        <v>-122057.72393967996</v>
      </c>
      <c r="V190" s="16">
        <f t="shared" si="22"/>
        <v>-91577.853409785705</v>
      </c>
      <c r="W190" s="17">
        <f t="shared" si="16"/>
        <v>-0.99504464569862983</v>
      </c>
      <c r="X190" s="17">
        <f t="shared" si="17"/>
        <v>-0.70287154733355062</v>
      </c>
    </row>
    <row r="191" spans="14:24" x14ac:dyDescent="0.3">
      <c r="N191" s="10"/>
      <c r="O191" s="10"/>
      <c r="P191" s="10"/>
      <c r="Q191" s="11"/>
      <c r="R191" s="15">
        <f t="shared" si="18"/>
        <v>154381</v>
      </c>
      <c r="S191" s="15">
        <f t="shared" si="20"/>
        <v>153451</v>
      </c>
      <c r="T191" s="15">
        <f t="shared" si="19"/>
        <v>98395</v>
      </c>
      <c r="U191" s="16">
        <f t="shared" si="21"/>
        <v>129811.82770265202</v>
      </c>
      <c r="V191" s="16">
        <f t="shared" si="22"/>
        <v>83505.378203896558</v>
      </c>
      <c r="W191" s="17">
        <f t="shared" si="16"/>
        <v>1.0538133019589659</v>
      </c>
      <c r="X191" s="17">
        <f t="shared" si="17"/>
        <v>0.63637647811080855</v>
      </c>
    </row>
    <row r="192" spans="14:24" x14ac:dyDescent="0.3">
      <c r="N192" s="10"/>
      <c r="O192" s="10"/>
      <c r="P192" s="10"/>
      <c r="Q192" s="11"/>
      <c r="R192" s="15">
        <f t="shared" si="18"/>
        <v>155211</v>
      </c>
      <c r="S192" s="15">
        <f t="shared" si="20"/>
        <v>154276</v>
      </c>
      <c r="T192" s="15">
        <f t="shared" si="19"/>
        <v>98924</v>
      </c>
      <c r="U192" s="16">
        <f t="shared" si="21"/>
        <v>-134704.50461749118</v>
      </c>
      <c r="V192" s="16">
        <f t="shared" si="22"/>
        <v>-74203.214710383254</v>
      </c>
      <c r="W192" s="17">
        <f t="shared" si="16"/>
        <v>-1.0979211424210746</v>
      </c>
      <c r="X192" s="17">
        <f t="shared" si="17"/>
        <v>-0.56996932502178543</v>
      </c>
    </row>
    <row r="193" spans="14:24" x14ac:dyDescent="0.3">
      <c r="N193" s="10"/>
      <c r="O193" s="10"/>
      <c r="P193" s="10"/>
      <c r="Q193" s="11"/>
      <c r="R193" s="15">
        <f t="shared" si="18"/>
        <v>156041</v>
      </c>
      <c r="S193" s="15">
        <f t="shared" si="20"/>
        <v>155101</v>
      </c>
      <c r="T193" s="15">
        <f t="shared" si="19"/>
        <v>99453</v>
      </c>
      <c r="U193" s="16">
        <f t="shared" si="21"/>
        <v>139181.48140893813</v>
      </c>
      <c r="V193" s="16">
        <f t="shared" si="22"/>
        <v>67020.254392385148</v>
      </c>
      <c r="W193" s="17">
        <f t="shared" si="16"/>
        <v>1.130031683012761</v>
      </c>
      <c r="X193" s="17">
        <f t="shared" si="17"/>
        <v>0.51027834004075967</v>
      </c>
    </row>
    <row r="194" spans="14:24" x14ac:dyDescent="0.3">
      <c r="N194" s="10"/>
      <c r="O194" s="10"/>
      <c r="P194" s="10"/>
      <c r="Q194" s="11"/>
      <c r="R194" s="15">
        <f t="shared" si="18"/>
        <v>156871</v>
      </c>
      <c r="S194" s="15">
        <f t="shared" si="20"/>
        <v>155926</v>
      </c>
      <c r="T194" s="15">
        <f t="shared" si="19"/>
        <v>99982</v>
      </c>
      <c r="U194" s="16">
        <f t="shared" si="21"/>
        <v>-145466.20577050935</v>
      </c>
      <c r="V194" s="16">
        <f t="shared" si="22"/>
        <v>-58487.319294045556</v>
      </c>
      <c r="W194" s="17">
        <f t="shared" si="16"/>
        <v>-1.1854632720429521</v>
      </c>
      <c r="X194" s="17">
        <f t="shared" si="17"/>
        <v>-0.44975517481200872</v>
      </c>
    </row>
    <row r="195" spans="14:24" x14ac:dyDescent="0.3">
      <c r="N195" s="10"/>
      <c r="O195" s="10"/>
      <c r="P195" s="10"/>
      <c r="Q195" s="11"/>
      <c r="R195" s="15">
        <f t="shared" si="18"/>
        <v>157701</v>
      </c>
      <c r="S195" s="15">
        <f t="shared" si="20"/>
        <v>156751</v>
      </c>
      <c r="T195" s="15">
        <f t="shared" si="19"/>
        <v>100511</v>
      </c>
      <c r="U195" s="16">
        <f t="shared" si="21"/>
        <v>149442.28969848319</v>
      </c>
      <c r="V195" s="16">
        <f t="shared" si="22"/>
        <v>47753.378160125081</v>
      </c>
      <c r="W195" s="17">
        <f t="shared" si="16"/>
        <v>1.2134992497604837</v>
      </c>
      <c r="X195" s="17">
        <f t="shared" si="17"/>
        <v>0.36290199958418623</v>
      </c>
    </row>
    <row r="196" spans="14:24" x14ac:dyDescent="0.3">
      <c r="N196" s="10"/>
      <c r="O196" s="10"/>
      <c r="P196" s="10"/>
      <c r="Q196" s="11"/>
      <c r="R196" s="15">
        <f t="shared" si="18"/>
        <v>158531</v>
      </c>
      <c r="S196" s="15">
        <f t="shared" si="20"/>
        <v>157576</v>
      </c>
      <c r="T196" s="15">
        <f t="shared" si="19"/>
        <v>101040</v>
      </c>
      <c r="U196" s="16">
        <f t="shared" si="21"/>
        <v>-151694.92920389478</v>
      </c>
      <c r="V196" s="16">
        <f t="shared" si="22"/>
        <v>-39017.125082141443</v>
      </c>
      <c r="W196" s="17">
        <f t="shared" si="16"/>
        <v>-1.2361314430347965</v>
      </c>
      <c r="X196" s="17">
        <f t="shared" si="17"/>
        <v>-0.30082361287439452</v>
      </c>
    </row>
    <row r="197" spans="14:24" x14ac:dyDescent="0.3">
      <c r="N197" s="10"/>
      <c r="O197" s="10"/>
      <c r="P197" s="10"/>
      <c r="Q197" s="11"/>
      <c r="R197" s="15">
        <f t="shared" si="18"/>
        <v>159361</v>
      </c>
      <c r="S197" s="15">
        <f t="shared" si="20"/>
        <v>158401</v>
      </c>
      <c r="T197" s="15">
        <f t="shared" si="19"/>
        <v>101569</v>
      </c>
      <c r="U197" s="16">
        <f t="shared" si="21"/>
        <v>155906.61988561426</v>
      </c>
      <c r="V197" s="16">
        <f t="shared" si="22"/>
        <v>30274.784859395153</v>
      </c>
      <c r="W197" s="17">
        <f t="shared" ref="W197:W260" si="23">(U197-$W$1)/$W$2</f>
        <v>1.2660839873511327</v>
      </c>
      <c r="X197" s="17">
        <f t="shared" ref="X197:X260" si="24">(V197-$X$1)/$X$2</f>
        <v>0.22920460692240788</v>
      </c>
    </row>
    <row r="198" spans="14:24" x14ac:dyDescent="0.3">
      <c r="N198" s="10"/>
      <c r="O198" s="10"/>
      <c r="P198" s="10"/>
      <c r="Q198" s="11"/>
      <c r="R198" s="15">
        <f t="shared" ref="R198:R261" si="25">R197+a_inc</f>
        <v>160191</v>
      </c>
      <c r="S198" s="15">
        <f t="shared" si="20"/>
        <v>159226</v>
      </c>
      <c r="T198" s="15">
        <f t="shared" ref="T198:T261" si="26">T197+t_inc</f>
        <v>102098</v>
      </c>
      <c r="U198" s="16">
        <f t="shared" si="21"/>
        <v>-158830.39700555435</v>
      </c>
      <c r="V198" s="16">
        <f t="shared" si="22"/>
        <v>-18798.241071458386</v>
      </c>
      <c r="W198" s="17">
        <f t="shared" si="23"/>
        <v>-1.294175616379122</v>
      </c>
      <c r="X198" s="17">
        <f t="shared" si="24"/>
        <v>-0.14616516706878416</v>
      </c>
    </row>
    <row r="199" spans="14:24" x14ac:dyDescent="0.3">
      <c r="N199" s="10"/>
      <c r="O199" s="10"/>
      <c r="P199" s="10"/>
      <c r="Q199" s="11"/>
      <c r="R199" s="15">
        <f t="shared" si="25"/>
        <v>161021</v>
      </c>
      <c r="S199" s="15">
        <f t="shared" ref="S199:S262" si="27">S198+b_inc</f>
        <v>160051</v>
      </c>
      <c r="T199" s="15">
        <f t="shared" si="26"/>
        <v>102627</v>
      </c>
      <c r="U199" s="16">
        <f t="shared" si="21"/>
        <v>158982.77847683887</v>
      </c>
      <c r="V199" s="16">
        <f t="shared" si="22"/>
        <v>8642.1078716020656</v>
      </c>
      <c r="W199" s="17">
        <f t="shared" si="23"/>
        <v>1.2911073057188716</v>
      </c>
      <c r="X199" s="17">
        <f t="shared" si="24"/>
        <v>6.3731764812075944E-2</v>
      </c>
    </row>
    <row r="200" spans="14:24" x14ac:dyDescent="0.3">
      <c r="N200" s="10"/>
      <c r="O200" s="10"/>
      <c r="P200" s="10"/>
      <c r="Q200" s="11"/>
      <c r="R200" s="15">
        <f t="shared" si="25"/>
        <v>161851</v>
      </c>
      <c r="S200" s="15">
        <f t="shared" si="27"/>
        <v>160876</v>
      </c>
      <c r="T200" s="15">
        <f t="shared" si="26"/>
        <v>103156</v>
      </c>
      <c r="U200" s="16">
        <f t="shared" si="21"/>
        <v>-160645.52204482799</v>
      </c>
      <c r="V200" s="16">
        <f t="shared" si="22"/>
        <v>186.57023733876304</v>
      </c>
      <c r="W200" s="17">
        <f t="shared" si="23"/>
        <v>-1.3089409317515381</v>
      </c>
      <c r="X200" s="17">
        <f t="shared" si="24"/>
        <v>-9.4639983217689218E-4</v>
      </c>
    </row>
    <row r="201" spans="14:24" x14ac:dyDescent="0.3">
      <c r="N201" s="10"/>
      <c r="O201" s="10"/>
      <c r="P201" s="10"/>
      <c r="Q201" s="11"/>
      <c r="R201" s="15">
        <f t="shared" si="25"/>
        <v>162681</v>
      </c>
      <c r="S201" s="15">
        <f t="shared" si="27"/>
        <v>161701</v>
      </c>
      <c r="T201" s="15">
        <f t="shared" si="26"/>
        <v>103685</v>
      </c>
      <c r="U201" s="16">
        <f t="shared" si="21"/>
        <v>162260.07059460363</v>
      </c>
      <c r="V201" s="16">
        <f t="shared" si="22"/>
        <v>-11676.556176196711</v>
      </c>
      <c r="W201" s="17">
        <f t="shared" si="23"/>
        <v>1.3177667647860523</v>
      </c>
      <c r="X201" s="17">
        <f t="shared" si="24"/>
        <v>-9.1689919234309233E-2</v>
      </c>
    </row>
    <row r="202" spans="14:24" x14ac:dyDescent="0.3">
      <c r="N202" s="10"/>
      <c r="O202" s="10"/>
      <c r="P202" s="10"/>
      <c r="Q202" s="11"/>
      <c r="R202" s="15">
        <f t="shared" si="25"/>
        <v>163511</v>
      </c>
      <c r="S202" s="15">
        <f t="shared" si="27"/>
        <v>162526</v>
      </c>
      <c r="T202" s="15">
        <f t="shared" si="26"/>
        <v>104214</v>
      </c>
      <c r="U202" s="16">
        <f t="shared" si="21"/>
        <v>-160568.62273521934</v>
      </c>
      <c r="V202" s="16">
        <f t="shared" si="22"/>
        <v>22906.569327404679</v>
      </c>
      <c r="W202" s="17">
        <f t="shared" si="23"/>
        <v>-1.3083153866603046</v>
      </c>
      <c r="X202" s="17">
        <f t="shared" si="24"/>
        <v>0.17284359501214133</v>
      </c>
    </row>
    <row r="203" spans="14:24" x14ac:dyDescent="0.3">
      <c r="N203" s="10"/>
      <c r="O203" s="10"/>
      <c r="P203" s="10"/>
      <c r="Q203" s="11"/>
      <c r="R203" s="15">
        <f t="shared" si="25"/>
        <v>164341</v>
      </c>
      <c r="S203" s="15">
        <f t="shared" si="27"/>
        <v>163351</v>
      </c>
      <c r="T203" s="15">
        <f t="shared" si="26"/>
        <v>104743</v>
      </c>
      <c r="U203" s="16">
        <f t="shared" si="21"/>
        <v>159419.66222468734</v>
      </c>
      <c r="V203" s="16">
        <f t="shared" si="22"/>
        <v>-31788.588442402935</v>
      </c>
      <c r="W203" s="17">
        <f t="shared" si="23"/>
        <v>1.2946611800682923</v>
      </c>
      <c r="X203" s="17">
        <f t="shared" si="24"/>
        <v>-0.24553103383985567</v>
      </c>
    </row>
    <row r="204" spans="14:24" x14ac:dyDescent="0.3">
      <c r="N204" s="10"/>
      <c r="O204" s="10"/>
      <c r="P204" s="10"/>
      <c r="Q204" s="11"/>
      <c r="R204" s="15">
        <f t="shared" si="25"/>
        <v>165171</v>
      </c>
      <c r="S204" s="15">
        <f t="shared" si="27"/>
        <v>164176</v>
      </c>
      <c r="T204" s="15">
        <f t="shared" si="26"/>
        <v>105272</v>
      </c>
      <c r="U204" s="16">
        <f t="shared" si="21"/>
        <v>-159375.21842242285</v>
      </c>
      <c r="V204" s="16">
        <f t="shared" si="22"/>
        <v>42626.102576751233</v>
      </c>
      <c r="W204" s="17">
        <f t="shared" si="23"/>
        <v>-1.298607520445042</v>
      </c>
      <c r="X204" s="17">
        <f t="shared" si="24"/>
        <v>0.32368240306626422</v>
      </c>
    </row>
    <row r="205" spans="14:24" x14ac:dyDescent="0.3">
      <c r="N205" s="10"/>
      <c r="O205" s="10"/>
      <c r="P205" s="10"/>
      <c r="Q205" s="11"/>
      <c r="R205" s="15">
        <f t="shared" si="25"/>
        <v>166001</v>
      </c>
      <c r="S205" s="15">
        <f t="shared" si="27"/>
        <v>165001</v>
      </c>
      <c r="T205" s="15">
        <f t="shared" si="26"/>
        <v>105801</v>
      </c>
      <c r="U205" s="16">
        <f t="shared" si="21"/>
        <v>156143.69557446879</v>
      </c>
      <c r="V205" s="16">
        <f t="shared" si="22"/>
        <v>-54372.781540261851</v>
      </c>
      <c r="W205" s="17">
        <f t="shared" si="23"/>
        <v>1.2680125031488492</v>
      </c>
      <c r="X205" s="17">
        <f t="shared" si="24"/>
        <v>-0.41828222042577912</v>
      </c>
    </row>
    <row r="206" spans="14:24" x14ac:dyDescent="0.3">
      <c r="N206" s="10"/>
      <c r="O206" s="10"/>
      <c r="P206" s="10"/>
      <c r="Q206" s="11"/>
      <c r="R206" s="15">
        <f t="shared" si="25"/>
        <v>166831</v>
      </c>
      <c r="S206" s="15">
        <f t="shared" si="27"/>
        <v>165826</v>
      </c>
      <c r="T206" s="15">
        <f t="shared" si="26"/>
        <v>106330</v>
      </c>
      <c r="U206" s="16">
        <f t="shared" si="21"/>
        <v>-152183.53111159304</v>
      </c>
      <c r="V206" s="16">
        <f t="shared" si="22"/>
        <v>63297.183762675173</v>
      </c>
      <c r="W206" s="17">
        <f t="shared" si="23"/>
        <v>-1.240106023905333</v>
      </c>
      <c r="X206" s="17">
        <f t="shared" si="24"/>
        <v>0.48179979904357995</v>
      </c>
    </row>
    <row r="207" spans="14:24" x14ac:dyDescent="0.3">
      <c r="N207" s="10"/>
      <c r="O207" s="10"/>
      <c r="P207" s="10"/>
      <c r="Q207" s="11"/>
      <c r="R207" s="15">
        <f t="shared" si="25"/>
        <v>167661</v>
      </c>
      <c r="S207" s="15">
        <f t="shared" si="27"/>
        <v>166651</v>
      </c>
      <c r="T207" s="15">
        <f t="shared" si="26"/>
        <v>106859</v>
      </c>
      <c r="U207" s="16">
        <f t="shared" si="21"/>
        <v>150104.58994919146</v>
      </c>
      <c r="V207" s="16">
        <f t="shared" si="22"/>
        <v>-72964.622422111715</v>
      </c>
      <c r="W207" s="17">
        <f t="shared" si="23"/>
        <v>1.2188867970981874</v>
      </c>
      <c r="X207" s="17">
        <f t="shared" si="24"/>
        <v>-0.56049507519723141</v>
      </c>
    </row>
    <row r="208" spans="14:24" x14ac:dyDescent="0.3">
      <c r="N208" s="10"/>
      <c r="O208" s="10"/>
      <c r="P208" s="10"/>
      <c r="Q208" s="11"/>
      <c r="R208" s="15">
        <f t="shared" si="25"/>
        <v>168491</v>
      </c>
      <c r="S208" s="15">
        <f t="shared" si="27"/>
        <v>167476</v>
      </c>
      <c r="T208" s="15">
        <f t="shared" si="26"/>
        <v>107388</v>
      </c>
      <c r="U208" s="16">
        <f t="shared" si="21"/>
        <v>-145600.18195073854</v>
      </c>
      <c r="V208" s="16">
        <f t="shared" si="22"/>
        <v>84508.130399913949</v>
      </c>
      <c r="W208" s="17">
        <f t="shared" si="23"/>
        <v>-1.1865531146216579</v>
      </c>
      <c r="X208" s="17">
        <f t="shared" si="24"/>
        <v>0.64404673805602952</v>
      </c>
    </row>
    <row r="209" spans="14:24" x14ac:dyDescent="0.3">
      <c r="N209" s="10"/>
      <c r="O209" s="10"/>
      <c r="P209" s="10"/>
      <c r="Q209" s="11"/>
      <c r="R209" s="15">
        <f t="shared" si="25"/>
        <v>169321</v>
      </c>
      <c r="S209" s="15">
        <f t="shared" si="27"/>
        <v>168301</v>
      </c>
      <c r="T209" s="15">
        <f t="shared" si="26"/>
        <v>107917</v>
      </c>
      <c r="U209" s="16">
        <f t="shared" si="21"/>
        <v>139095.18062484797</v>
      </c>
      <c r="V209" s="16">
        <f t="shared" si="22"/>
        <v>-93406.632902108366</v>
      </c>
      <c r="W209" s="17">
        <f t="shared" si="23"/>
        <v>1.1293296606912091</v>
      </c>
      <c r="X209" s="17">
        <f t="shared" si="24"/>
        <v>-0.71686026173808226</v>
      </c>
    </row>
    <row r="210" spans="14:24" x14ac:dyDescent="0.3">
      <c r="N210" s="10"/>
      <c r="O210" s="10"/>
      <c r="P210" s="10"/>
      <c r="Q210" s="11"/>
      <c r="R210" s="15">
        <f t="shared" si="25"/>
        <v>170151</v>
      </c>
      <c r="S210" s="15">
        <f t="shared" si="27"/>
        <v>169126</v>
      </c>
      <c r="T210" s="15">
        <f t="shared" si="26"/>
        <v>108446</v>
      </c>
      <c r="U210" s="16">
        <f t="shared" si="21"/>
        <v>-134672.04655805489</v>
      </c>
      <c r="V210" s="16">
        <f t="shared" si="22"/>
        <v>101583.08835851595</v>
      </c>
      <c r="W210" s="17">
        <f t="shared" si="23"/>
        <v>-1.0976571091045901</v>
      </c>
      <c r="X210" s="17">
        <f t="shared" si="24"/>
        <v>0.77465664009999058</v>
      </c>
    </row>
    <row r="211" spans="14:24" x14ac:dyDescent="0.3">
      <c r="N211" s="10"/>
      <c r="O211" s="10"/>
      <c r="P211" s="10"/>
      <c r="Q211" s="11"/>
      <c r="R211" s="15">
        <f t="shared" si="25"/>
        <v>170981</v>
      </c>
      <c r="S211" s="15">
        <f t="shared" si="27"/>
        <v>169951</v>
      </c>
      <c r="T211" s="15">
        <f t="shared" si="26"/>
        <v>108975</v>
      </c>
      <c r="U211" s="16">
        <f t="shared" si="21"/>
        <v>129064.2146835787</v>
      </c>
      <c r="V211" s="16">
        <f t="shared" si="22"/>
        <v>-112129.3331148423</v>
      </c>
      <c r="W211" s="17">
        <f t="shared" si="23"/>
        <v>1.0477317694120076</v>
      </c>
      <c r="X211" s="17">
        <f t="shared" si="24"/>
        <v>-0.8600740867274258</v>
      </c>
    </row>
    <row r="212" spans="14:24" x14ac:dyDescent="0.3">
      <c r="N212" s="10"/>
      <c r="O212" s="10"/>
      <c r="P212" s="10"/>
      <c r="Q212" s="11"/>
      <c r="R212" s="15">
        <f t="shared" si="25"/>
        <v>171811</v>
      </c>
      <c r="S212" s="15">
        <f t="shared" si="27"/>
        <v>170776</v>
      </c>
      <c r="T212" s="15">
        <f t="shared" si="26"/>
        <v>109504</v>
      </c>
      <c r="U212" s="16">
        <f t="shared" si="21"/>
        <v>-120500.31831342634</v>
      </c>
      <c r="V212" s="16">
        <f t="shared" si="22"/>
        <v>120808.01516127445</v>
      </c>
      <c r="W212" s="17">
        <f t="shared" si="23"/>
        <v>-0.98237577455374592</v>
      </c>
      <c r="X212" s="17">
        <f t="shared" si="24"/>
        <v>0.92171210065212839</v>
      </c>
    </row>
    <row r="213" spans="14:24" x14ac:dyDescent="0.3">
      <c r="N213" s="10"/>
      <c r="O213" s="10"/>
      <c r="P213" s="10"/>
      <c r="Q213" s="11"/>
      <c r="R213" s="15">
        <f t="shared" si="25"/>
        <v>172641</v>
      </c>
      <c r="S213" s="15">
        <f t="shared" si="27"/>
        <v>171601</v>
      </c>
      <c r="T213" s="15">
        <f t="shared" si="26"/>
        <v>110033</v>
      </c>
      <c r="U213" s="16">
        <f t="shared" si="21"/>
        <v>113583.74272136246</v>
      </c>
      <c r="V213" s="16">
        <f t="shared" si="22"/>
        <v>-127371.16710618719</v>
      </c>
      <c r="W213" s="17">
        <f t="shared" si="23"/>
        <v>0.92180432877274554</v>
      </c>
      <c r="X213" s="17">
        <f t="shared" si="24"/>
        <v>-0.97666204257518718</v>
      </c>
    </row>
    <row r="214" spans="14:24" x14ac:dyDescent="0.3">
      <c r="N214" s="10"/>
      <c r="O214" s="10"/>
      <c r="P214" s="10"/>
      <c r="Q214" s="11"/>
      <c r="R214" s="15">
        <f t="shared" si="25"/>
        <v>173471</v>
      </c>
      <c r="S214" s="15">
        <f t="shared" si="27"/>
        <v>172426</v>
      </c>
      <c r="T214" s="15">
        <f t="shared" si="26"/>
        <v>110562</v>
      </c>
      <c r="U214" s="16">
        <f t="shared" si="21"/>
        <v>-106921.78596144018</v>
      </c>
      <c r="V214" s="16">
        <f t="shared" si="22"/>
        <v>136162.61554057858</v>
      </c>
      <c r="W214" s="17">
        <f t="shared" si="23"/>
        <v>-0.87191985105887593</v>
      </c>
      <c r="X214" s="17">
        <f t="shared" si="24"/>
        <v>1.0391626300371668</v>
      </c>
    </row>
    <row r="215" spans="14:24" x14ac:dyDescent="0.3">
      <c r="N215" s="10"/>
      <c r="O215" s="10"/>
      <c r="P215" s="10"/>
      <c r="Q215" s="11"/>
      <c r="R215" s="15">
        <f t="shared" si="25"/>
        <v>174301</v>
      </c>
      <c r="S215" s="15">
        <f t="shared" si="27"/>
        <v>173251</v>
      </c>
      <c r="T215" s="15">
        <f t="shared" si="26"/>
        <v>111091</v>
      </c>
      <c r="U215" s="16">
        <f t="shared" si="21"/>
        <v>96919.296053685917</v>
      </c>
      <c r="V215" s="16">
        <f t="shared" si="22"/>
        <v>-144265.09389396626</v>
      </c>
      <c r="W215" s="17">
        <f t="shared" si="23"/>
        <v>0.78624572799804682</v>
      </c>
      <c r="X215" s="17">
        <f t="shared" si="24"/>
        <v>-1.1058871995705564</v>
      </c>
    </row>
    <row r="216" spans="14:24" x14ac:dyDescent="0.3">
      <c r="N216" s="10"/>
      <c r="O216" s="10"/>
      <c r="P216" s="10"/>
      <c r="Q216" s="11"/>
      <c r="R216" s="15">
        <f t="shared" si="25"/>
        <v>175131</v>
      </c>
      <c r="S216" s="15">
        <f t="shared" si="27"/>
        <v>174076</v>
      </c>
      <c r="T216" s="15">
        <f t="shared" si="26"/>
        <v>111620</v>
      </c>
      <c r="U216" s="16">
        <f t="shared" si="21"/>
        <v>-87594.796752779221</v>
      </c>
      <c r="V216" s="16">
        <f t="shared" si="22"/>
        <v>149248.04411860814</v>
      </c>
      <c r="W216" s="17">
        <f t="shared" si="23"/>
        <v>-0.71470253286279162</v>
      </c>
      <c r="X216" s="17">
        <f t="shared" si="24"/>
        <v>1.1392557927215696</v>
      </c>
    </row>
    <row r="217" spans="14:24" x14ac:dyDescent="0.3">
      <c r="N217" s="10"/>
      <c r="O217" s="10"/>
      <c r="P217" s="10"/>
      <c r="Q217" s="11"/>
      <c r="R217" s="15">
        <f t="shared" si="25"/>
        <v>175961</v>
      </c>
      <c r="S217" s="15">
        <f t="shared" si="27"/>
        <v>174901</v>
      </c>
      <c r="T217" s="15">
        <f t="shared" si="26"/>
        <v>112149</v>
      </c>
      <c r="U217" s="16">
        <f t="shared" si="21"/>
        <v>79830.418047094325</v>
      </c>
      <c r="V217" s="16">
        <f t="shared" si="22"/>
        <v>-155673.6337555426</v>
      </c>
      <c r="W217" s="17">
        <f t="shared" si="23"/>
        <v>0.64723454823434068</v>
      </c>
      <c r="X217" s="17">
        <f t="shared" si="24"/>
        <v>-1.1931534919618911</v>
      </c>
    </row>
    <row r="218" spans="14:24" x14ac:dyDescent="0.3">
      <c r="N218" s="10"/>
      <c r="O218" s="10"/>
      <c r="P218" s="10"/>
      <c r="Q218" s="11"/>
      <c r="R218" s="15">
        <f t="shared" si="25"/>
        <v>176791</v>
      </c>
      <c r="S218" s="15">
        <f t="shared" si="27"/>
        <v>175726</v>
      </c>
      <c r="T218" s="15">
        <f t="shared" si="26"/>
        <v>112678</v>
      </c>
      <c r="U218" s="16">
        <f t="shared" si="21"/>
        <v>-69039.077843202787</v>
      </c>
      <c r="V218" s="16">
        <f t="shared" si="22"/>
        <v>162688.98222990599</v>
      </c>
      <c r="W218" s="17">
        <f t="shared" si="23"/>
        <v>-0.5637591897135823</v>
      </c>
      <c r="X218" s="17">
        <f t="shared" si="24"/>
        <v>1.2420683217100326</v>
      </c>
    </row>
    <row r="219" spans="14:24" x14ac:dyDescent="0.3">
      <c r="N219" s="10"/>
      <c r="O219" s="10"/>
      <c r="P219" s="10"/>
      <c r="Q219" s="11"/>
      <c r="R219" s="15">
        <f t="shared" si="25"/>
        <v>177621</v>
      </c>
      <c r="S219" s="15">
        <f t="shared" si="27"/>
        <v>176551</v>
      </c>
      <c r="T219" s="15">
        <f t="shared" si="26"/>
        <v>113207</v>
      </c>
      <c r="U219" s="16">
        <f t="shared" si="21"/>
        <v>57661.207588364763</v>
      </c>
      <c r="V219" s="16">
        <f t="shared" si="22"/>
        <v>-166204.56672088755</v>
      </c>
      <c r="W219" s="17">
        <f t="shared" si="23"/>
        <v>0.46689689826638048</v>
      </c>
      <c r="X219" s="17">
        <f t="shared" si="24"/>
        <v>-1.2737067868145033</v>
      </c>
    </row>
    <row r="220" spans="14:24" x14ac:dyDescent="0.3">
      <c r="N220" s="10"/>
      <c r="O220" s="10"/>
      <c r="P220" s="10"/>
      <c r="Q220" s="11"/>
      <c r="R220" s="15">
        <f t="shared" si="25"/>
        <v>178451</v>
      </c>
      <c r="S220" s="15">
        <f t="shared" si="27"/>
        <v>177376</v>
      </c>
      <c r="T220" s="15">
        <f t="shared" si="26"/>
        <v>113736</v>
      </c>
      <c r="U220" s="16">
        <f t="shared" si="21"/>
        <v>-48710.782696028764</v>
      </c>
      <c r="V220" s="16">
        <f t="shared" si="22"/>
        <v>169884.80415231085</v>
      </c>
      <c r="W220" s="17">
        <f t="shared" si="23"/>
        <v>-0.39839664865597268</v>
      </c>
      <c r="X220" s="17">
        <f t="shared" si="24"/>
        <v>1.2971106590727206</v>
      </c>
    </row>
    <row r="221" spans="14:24" x14ac:dyDescent="0.3">
      <c r="N221" s="10"/>
      <c r="O221" s="10"/>
      <c r="P221" s="10"/>
      <c r="Q221" s="11"/>
      <c r="R221" s="15">
        <f t="shared" si="25"/>
        <v>179281</v>
      </c>
      <c r="S221" s="15">
        <f t="shared" si="27"/>
        <v>178201</v>
      </c>
      <c r="T221" s="15">
        <f t="shared" si="26"/>
        <v>114265</v>
      </c>
      <c r="U221" s="16">
        <f t="shared" si="21"/>
        <v>37709.14508536597</v>
      </c>
      <c r="V221" s="16">
        <f t="shared" si="22"/>
        <v>-175202.67898655299</v>
      </c>
      <c r="W221" s="17">
        <f t="shared" si="23"/>
        <v>0.30459485911604911</v>
      </c>
      <c r="X221" s="17">
        <f t="shared" si="24"/>
        <v>-1.3425352175754155</v>
      </c>
    </row>
    <row r="222" spans="14:24" x14ac:dyDescent="0.3">
      <c r="N222" s="10"/>
      <c r="O222" s="10"/>
      <c r="P222" s="10"/>
      <c r="Q222" s="11"/>
      <c r="R222" s="15">
        <f t="shared" si="25"/>
        <v>180111</v>
      </c>
      <c r="S222" s="15">
        <f t="shared" si="27"/>
        <v>179026</v>
      </c>
      <c r="T222" s="15">
        <f t="shared" si="26"/>
        <v>114794</v>
      </c>
      <c r="U222" s="16">
        <f t="shared" si="21"/>
        <v>-24884.642513166851</v>
      </c>
      <c r="V222" s="16">
        <f t="shared" si="22"/>
        <v>177355.98212094241</v>
      </c>
      <c r="W222" s="17">
        <f t="shared" si="23"/>
        <v>-0.20458053885885652</v>
      </c>
      <c r="X222" s="17">
        <f t="shared" si="24"/>
        <v>1.3542592520591163</v>
      </c>
    </row>
    <row r="223" spans="14:24" x14ac:dyDescent="0.3">
      <c r="N223" s="10"/>
      <c r="O223" s="10"/>
      <c r="P223" s="10"/>
      <c r="Q223" s="11"/>
      <c r="R223" s="15">
        <f t="shared" si="25"/>
        <v>180941</v>
      </c>
      <c r="S223" s="15">
        <f t="shared" si="27"/>
        <v>179851</v>
      </c>
      <c r="T223" s="15">
        <f t="shared" si="26"/>
        <v>115323</v>
      </c>
      <c r="U223" s="16">
        <f t="shared" si="21"/>
        <v>14715.32924198659</v>
      </c>
      <c r="V223" s="16">
        <f t="shared" si="22"/>
        <v>-178184.51619161849</v>
      </c>
      <c r="W223" s="17">
        <f t="shared" si="23"/>
        <v>0.11754937453686035</v>
      </c>
      <c r="X223" s="17">
        <f t="shared" si="24"/>
        <v>-1.3653439100599816</v>
      </c>
    </row>
    <row r="224" spans="14:24" x14ac:dyDescent="0.3">
      <c r="N224" s="10"/>
      <c r="O224" s="10"/>
      <c r="P224" s="10"/>
      <c r="Q224" s="11"/>
      <c r="R224" s="15">
        <f t="shared" si="25"/>
        <v>181771</v>
      </c>
      <c r="S224" s="15">
        <f t="shared" si="27"/>
        <v>180676</v>
      </c>
      <c r="T224" s="15">
        <f t="shared" si="26"/>
        <v>115852</v>
      </c>
      <c r="U224" s="16">
        <f t="shared" si="21"/>
        <v>-3937.4165585889964</v>
      </c>
      <c r="V224" s="16">
        <f t="shared" si="22"/>
        <v>181188.1112889729</v>
      </c>
      <c r="W224" s="17">
        <f t="shared" si="23"/>
        <v>-3.4183243518600526E-2</v>
      </c>
      <c r="X224" s="17">
        <f t="shared" si="24"/>
        <v>1.3835720044810993</v>
      </c>
    </row>
    <row r="225" spans="14:24" x14ac:dyDescent="0.3">
      <c r="N225" s="10"/>
      <c r="O225" s="10"/>
      <c r="P225" s="10"/>
      <c r="Q225" s="11"/>
      <c r="R225" s="15">
        <f t="shared" si="25"/>
        <v>182601</v>
      </c>
      <c r="S225" s="15">
        <f t="shared" si="27"/>
        <v>181501</v>
      </c>
      <c r="T225" s="15">
        <f t="shared" si="26"/>
        <v>116381</v>
      </c>
      <c r="U225" s="16">
        <f t="shared" si="21"/>
        <v>-9542.1403989925948</v>
      </c>
      <c r="V225" s="16">
        <f t="shared" si="22"/>
        <v>-182001.08852121406</v>
      </c>
      <c r="W225" s="17">
        <f t="shared" si="23"/>
        <v>-7.977542768679162E-2</v>
      </c>
      <c r="X225" s="17">
        <f t="shared" si="24"/>
        <v>-1.3945376649916617</v>
      </c>
    </row>
    <row r="226" spans="14:24" x14ac:dyDescent="0.3">
      <c r="N226" s="10"/>
      <c r="O226" s="10"/>
      <c r="P226" s="10"/>
      <c r="Q226" s="11"/>
      <c r="R226" s="15">
        <f t="shared" si="25"/>
        <v>183431</v>
      </c>
      <c r="S226" s="15">
        <f t="shared" si="27"/>
        <v>182326</v>
      </c>
      <c r="T226" s="15">
        <f t="shared" si="26"/>
        <v>116910</v>
      </c>
      <c r="U226" s="16">
        <f t="shared" si="21"/>
        <v>20825.213028689501</v>
      </c>
      <c r="V226" s="16">
        <f t="shared" si="22"/>
        <v>180133.88473176264</v>
      </c>
      <c r="W226" s="17">
        <f t="shared" si="23"/>
        <v>0.16725083258934925</v>
      </c>
      <c r="X226" s="17">
        <f t="shared" si="24"/>
        <v>1.3755080064494083</v>
      </c>
    </row>
    <row r="227" spans="14:24" x14ac:dyDescent="0.3">
      <c r="N227" s="10"/>
      <c r="O227" s="10"/>
      <c r="P227" s="10"/>
      <c r="Q227" s="11"/>
      <c r="R227" s="15">
        <f t="shared" si="25"/>
        <v>184261</v>
      </c>
      <c r="S227" s="15">
        <f t="shared" si="27"/>
        <v>183151</v>
      </c>
      <c r="T227" s="15">
        <f t="shared" si="26"/>
        <v>117439</v>
      </c>
      <c r="U227" s="16">
        <f t="shared" si="21"/>
        <v>-31119.57826917338</v>
      </c>
      <c r="V227" s="16">
        <f t="shared" si="22"/>
        <v>-180311.3631974578</v>
      </c>
      <c r="W227" s="17">
        <f t="shared" si="23"/>
        <v>-0.25529924460765208</v>
      </c>
      <c r="X227" s="17">
        <f t="shared" si="24"/>
        <v>-1.3816126048215531</v>
      </c>
    </row>
    <row r="228" spans="14:24" x14ac:dyDescent="0.3">
      <c r="N228" s="10"/>
      <c r="O228" s="10"/>
      <c r="P228" s="10"/>
      <c r="Q228" s="11"/>
      <c r="R228" s="15">
        <f t="shared" si="25"/>
        <v>185091</v>
      </c>
      <c r="S228" s="15">
        <f t="shared" si="27"/>
        <v>183976</v>
      </c>
      <c r="T228" s="15">
        <f t="shared" si="26"/>
        <v>117968</v>
      </c>
      <c r="U228" s="16">
        <f t="shared" si="21"/>
        <v>44383.068336044889</v>
      </c>
      <c r="V228" s="16">
        <f t="shared" si="22"/>
        <v>179680.73567373137</v>
      </c>
      <c r="W228" s="17">
        <f t="shared" si="23"/>
        <v>0.35888455235228439</v>
      </c>
      <c r="X228" s="17">
        <f t="shared" si="24"/>
        <v>1.3720417751284133</v>
      </c>
    </row>
    <row r="229" spans="14:24" x14ac:dyDescent="0.3">
      <c r="N229" s="10"/>
      <c r="O229" s="10"/>
      <c r="P229" s="10"/>
      <c r="Q229" s="11"/>
      <c r="R229" s="15">
        <f t="shared" si="25"/>
        <v>185921</v>
      </c>
      <c r="S229" s="15">
        <f t="shared" si="27"/>
        <v>184801</v>
      </c>
      <c r="T229" s="15">
        <f t="shared" si="26"/>
        <v>118497</v>
      </c>
      <c r="U229" s="16">
        <f t="shared" ref="U229:U264" si="28">(R229-S229)*COS(T229)+S229*COS((R229/S229-1)*T229)</f>
        <v>-56472.692377628082</v>
      </c>
      <c r="V229" s="16">
        <f t="shared" ref="V229:V264" si="29">(R229-S229)*SIN(T229)-S229*SIN((R229/S229-1)*T229)</f>
        <v>-175476.16757504654</v>
      </c>
      <c r="W229" s="17">
        <f t="shared" si="23"/>
        <v>-0.46153667585040059</v>
      </c>
      <c r="X229" s="17">
        <f t="shared" si="24"/>
        <v>-1.3446271886268166</v>
      </c>
    </row>
    <row r="230" spans="14:24" x14ac:dyDescent="0.3">
      <c r="N230" s="10"/>
      <c r="O230" s="10"/>
      <c r="P230" s="10"/>
      <c r="Q230" s="11"/>
      <c r="R230" s="15">
        <f t="shared" si="25"/>
        <v>186751</v>
      </c>
      <c r="S230" s="15">
        <f t="shared" si="27"/>
        <v>185626</v>
      </c>
      <c r="T230" s="15">
        <f t="shared" si="26"/>
        <v>119026</v>
      </c>
      <c r="U230" s="16">
        <f t="shared" si="28"/>
        <v>66178.273915949394</v>
      </c>
      <c r="V230" s="16">
        <f t="shared" si="29"/>
        <v>172525.62711498237</v>
      </c>
      <c r="W230" s="17">
        <f t="shared" si="23"/>
        <v>0.53617982239203632</v>
      </c>
      <c r="X230" s="17">
        <f t="shared" si="24"/>
        <v>1.3173108627456207</v>
      </c>
    </row>
    <row r="231" spans="14:24" x14ac:dyDescent="0.3">
      <c r="N231" s="10"/>
      <c r="O231" s="10"/>
      <c r="P231" s="10"/>
      <c r="Q231" s="11"/>
      <c r="R231" s="15">
        <f t="shared" si="25"/>
        <v>187581</v>
      </c>
      <c r="S231" s="15">
        <f t="shared" si="27"/>
        <v>186451</v>
      </c>
      <c r="T231" s="15">
        <f t="shared" si="26"/>
        <v>119555</v>
      </c>
      <c r="U231" s="16">
        <f t="shared" si="28"/>
        <v>-78396.475488587836</v>
      </c>
      <c r="V231" s="16">
        <f t="shared" si="29"/>
        <v>-170227.0726524386</v>
      </c>
      <c r="W231" s="17">
        <f t="shared" si="23"/>
        <v>-0.63987787261958462</v>
      </c>
      <c r="X231" s="17">
        <f t="shared" si="24"/>
        <v>-1.3044757706658785</v>
      </c>
    </row>
    <row r="232" spans="14:24" x14ac:dyDescent="0.3">
      <c r="N232" s="10"/>
      <c r="O232" s="10"/>
      <c r="P232" s="10"/>
      <c r="Q232" s="11"/>
      <c r="R232" s="15">
        <f t="shared" si="25"/>
        <v>188411</v>
      </c>
      <c r="S232" s="15">
        <f t="shared" si="27"/>
        <v>187276</v>
      </c>
      <c r="T232" s="15">
        <f t="shared" si="26"/>
        <v>120084</v>
      </c>
      <c r="U232" s="16">
        <f t="shared" si="28"/>
        <v>90761.885208180567</v>
      </c>
      <c r="V232" s="16">
        <f t="shared" si="29"/>
        <v>164151.85707498048</v>
      </c>
      <c r="W232" s="17">
        <f t="shared" si="23"/>
        <v>0.73615765635323915</v>
      </c>
      <c r="X232" s="17">
        <f t="shared" si="24"/>
        <v>1.2532581554232978</v>
      </c>
    </row>
    <row r="233" spans="14:24" x14ac:dyDescent="0.3">
      <c r="N233" s="10"/>
      <c r="O233" s="10"/>
      <c r="P233" s="10"/>
      <c r="Q233" s="11"/>
      <c r="R233" s="15">
        <f t="shared" si="25"/>
        <v>189241</v>
      </c>
      <c r="S233" s="15">
        <f t="shared" si="27"/>
        <v>188101</v>
      </c>
      <c r="T233" s="15">
        <f t="shared" si="26"/>
        <v>120613</v>
      </c>
      <c r="U233" s="16">
        <f t="shared" si="28"/>
        <v>-99865.866194843344</v>
      </c>
      <c r="V233" s="16">
        <f t="shared" si="29"/>
        <v>-158055.2034198007</v>
      </c>
      <c r="W233" s="17">
        <f t="shared" si="23"/>
        <v>-0.81452276912673605</v>
      </c>
      <c r="X233" s="17">
        <f t="shared" si="24"/>
        <v>-1.2113706132756754</v>
      </c>
    </row>
    <row r="234" spans="14:24" x14ac:dyDescent="0.3">
      <c r="N234" s="10"/>
      <c r="O234" s="10"/>
      <c r="P234" s="10"/>
      <c r="Q234" s="11"/>
      <c r="R234" s="15">
        <f t="shared" si="25"/>
        <v>190071</v>
      </c>
      <c r="S234" s="15">
        <f t="shared" si="27"/>
        <v>188926</v>
      </c>
      <c r="T234" s="15">
        <f t="shared" si="26"/>
        <v>121142</v>
      </c>
      <c r="U234" s="16">
        <f t="shared" si="28"/>
        <v>110363.00258159619</v>
      </c>
      <c r="V234" s="16">
        <f t="shared" si="29"/>
        <v>153795.21458273011</v>
      </c>
      <c r="W234" s="17">
        <f t="shared" si="23"/>
        <v>0.89560489740173699</v>
      </c>
      <c r="X234" s="17">
        <f t="shared" si="24"/>
        <v>1.1740380446214618</v>
      </c>
    </row>
    <row r="235" spans="14:24" x14ac:dyDescent="0.3">
      <c r="N235" s="10"/>
      <c r="O235" s="10"/>
      <c r="P235" s="10"/>
      <c r="Q235" s="11"/>
      <c r="R235" s="15">
        <f t="shared" si="25"/>
        <v>190901</v>
      </c>
      <c r="S235" s="15">
        <f t="shared" si="27"/>
        <v>189751</v>
      </c>
      <c r="T235" s="15">
        <f t="shared" si="26"/>
        <v>121671</v>
      </c>
      <c r="U235" s="16">
        <f t="shared" si="28"/>
        <v>-122280.89981253615</v>
      </c>
      <c r="V235" s="16">
        <f t="shared" si="29"/>
        <v>-146319.28963454548</v>
      </c>
      <c r="W235" s="17">
        <f t="shared" si="23"/>
        <v>-0.99686009205903847</v>
      </c>
      <c r="X235" s="17">
        <f t="shared" si="24"/>
        <v>-1.1216001697053386</v>
      </c>
    </row>
    <row r="236" spans="14:24" x14ac:dyDescent="0.3">
      <c r="N236" s="10"/>
      <c r="O236" s="10"/>
      <c r="P236" s="10"/>
      <c r="Q236" s="11"/>
      <c r="R236" s="15">
        <f t="shared" si="25"/>
        <v>191731</v>
      </c>
      <c r="S236" s="15">
        <f t="shared" si="27"/>
        <v>190576</v>
      </c>
      <c r="T236" s="15">
        <f t="shared" si="26"/>
        <v>122200</v>
      </c>
      <c r="U236" s="16">
        <f t="shared" si="28"/>
        <v>130775.78841828751</v>
      </c>
      <c r="V236" s="16">
        <f t="shared" si="29"/>
        <v>137366.71665102255</v>
      </c>
      <c r="W236" s="17">
        <f t="shared" si="23"/>
        <v>1.061654736386356</v>
      </c>
      <c r="X236" s="17">
        <f t="shared" si="24"/>
        <v>1.0483730496743573</v>
      </c>
    </row>
    <row r="237" spans="14:24" x14ac:dyDescent="0.3">
      <c r="N237" s="10"/>
      <c r="O237" s="10"/>
      <c r="P237" s="10"/>
      <c r="Q237" s="11"/>
      <c r="R237" s="15">
        <f t="shared" si="25"/>
        <v>192561</v>
      </c>
      <c r="S237" s="15">
        <f t="shared" si="27"/>
        <v>191401</v>
      </c>
      <c r="T237" s="15">
        <f t="shared" si="26"/>
        <v>122729</v>
      </c>
      <c r="U237" s="16">
        <f t="shared" si="28"/>
        <v>-139107.06431189095</v>
      </c>
      <c r="V237" s="16">
        <f t="shared" si="29"/>
        <v>-130871.13155856714</v>
      </c>
      <c r="W237" s="17">
        <f t="shared" si="23"/>
        <v>-1.1337342026385206</v>
      </c>
      <c r="X237" s="17">
        <f t="shared" si="24"/>
        <v>-1.003433998054726</v>
      </c>
    </row>
    <row r="238" spans="14:24" x14ac:dyDescent="0.3">
      <c r="N238" s="10"/>
      <c r="O238" s="10"/>
      <c r="P238" s="10"/>
      <c r="Q238" s="11"/>
      <c r="R238" s="15">
        <f t="shared" si="25"/>
        <v>193391</v>
      </c>
      <c r="S238" s="15">
        <f t="shared" si="27"/>
        <v>192226</v>
      </c>
      <c r="T238" s="15">
        <f t="shared" si="26"/>
        <v>123258</v>
      </c>
      <c r="U238" s="16">
        <f t="shared" si="28"/>
        <v>149742.53066741192</v>
      </c>
      <c r="V238" s="16">
        <f t="shared" si="29"/>
        <v>122377.22565248747</v>
      </c>
      <c r="W238" s="17">
        <f t="shared" si="23"/>
        <v>1.2159415898186245</v>
      </c>
      <c r="X238" s="17">
        <f t="shared" si="24"/>
        <v>0.93371531782200934</v>
      </c>
    </row>
    <row r="239" spans="14:24" x14ac:dyDescent="0.3">
      <c r="N239" s="10"/>
      <c r="O239" s="10"/>
      <c r="P239" s="10"/>
      <c r="Q239" s="11"/>
      <c r="R239" s="15">
        <f t="shared" si="25"/>
        <v>194221</v>
      </c>
      <c r="S239" s="15">
        <f t="shared" si="27"/>
        <v>193051</v>
      </c>
      <c r="T239" s="15">
        <f t="shared" si="26"/>
        <v>123787</v>
      </c>
      <c r="U239" s="16">
        <f t="shared" si="28"/>
        <v>-157538.47636072367</v>
      </c>
      <c r="V239" s="16">
        <f t="shared" si="29"/>
        <v>-111134.95791401097</v>
      </c>
      <c r="W239" s="17">
        <f t="shared" si="23"/>
        <v>-1.2836663592511979</v>
      </c>
      <c r="X239" s="17">
        <f t="shared" si="24"/>
        <v>-0.8524679041593396</v>
      </c>
    </row>
    <row r="240" spans="14:24" x14ac:dyDescent="0.3">
      <c r="N240" s="10"/>
      <c r="O240" s="10"/>
      <c r="P240" s="10"/>
      <c r="Q240" s="11"/>
      <c r="R240" s="15">
        <f t="shared" si="25"/>
        <v>195051</v>
      </c>
      <c r="S240" s="15">
        <f t="shared" si="27"/>
        <v>193876</v>
      </c>
      <c r="T240" s="15">
        <f t="shared" si="26"/>
        <v>124316</v>
      </c>
      <c r="U240" s="16">
        <f t="shared" si="28"/>
        <v>163517.28096754133</v>
      </c>
      <c r="V240" s="16">
        <f t="shared" si="29"/>
        <v>102253.14865210879</v>
      </c>
      <c r="W240" s="17">
        <f t="shared" si="23"/>
        <v>1.3279936677509998</v>
      </c>
      <c r="X240" s="17">
        <f t="shared" si="24"/>
        <v>0.77978207054157012</v>
      </c>
    </row>
    <row r="241" spans="14:24" x14ac:dyDescent="0.3">
      <c r="N241" s="10"/>
      <c r="O241" s="10"/>
      <c r="P241" s="10"/>
      <c r="Q241" s="11"/>
      <c r="R241" s="15">
        <f t="shared" si="25"/>
        <v>195881</v>
      </c>
      <c r="S241" s="15">
        <f t="shared" si="27"/>
        <v>194701</v>
      </c>
      <c r="T241" s="15">
        <f t="shared" si="26"/>
        <v>124845</v>
      </c>
      <c r="U241" s="16">
        <f t="shared" si="28"/>
        <v>-172039.64174961284</v>
      </c>
      <c r="V241" s="16">
        <f t="shared" si="29"/>
        <v>-92983.143112568185</v>
      </c>
      <c r="W241" s="17">
        <f t="shared" si="23"/>
        <v>-1.4016275330556192</v>
      </c>
      <c r="X241" s="17">
        <f t="shared" si="24"/>
        <v>-0.71362090032573999</v>
      </c>
    </row>
    <row r="242" spans="14:24" x14ac:dyDescent="0.3">
      <c r="N242" s="10"/>
      <c r="O242" s="10"/>
      <c r="P242" s="10"/>
      <c r="Q242" s="11"/>
      <c r="R242" s="15">
        <f t="shared" si="25"/>
        <v>196711</v>
      </c>
      <c r="S242" s="15">
        <f t="shared" si="27"/>
        <v>195526</v>
      </c>
      <c r="T242" s="15">
        <f t="shared" si="26"/>
        <v>125374</v>
      </c>
      <c r="U242" s="16">
        <f t="shared" si="28"/>
        <v>178901.25760533573</v>
      </c>
      <c r="V242" s="16">
        <f t="shared" si="29"/>
        <v>80210.133813203138</v>
      </c>
      <c r="W242" s="17">
        <f t="shared" si="23"/>
        <v>1.4531361575652642</v>
      </c>
      <c r="X242" s="17">
        <f t="shared" si="24"/>
        <v>0.61117046892924232</v>
      </c>
    </row>
    <row r="243" spans="14:24" x14ac:dyDescent="0.3">
      <c r="N243" s="10"/>
      <c r="O243" s="10"/>
      <c r="P243" s="10"/>
      <c r="Q243" s="11"/>
      <c r="R243" s="15">
        <f t="shared" si="25"/>
        <v>197541</v>
      </c>
      <c r="S243" s="15">
        <f t="shared" si="27"/>
        <v>196351</v>
      </c>
      <c r="T243" s="15">
        <f t="shared" si="26"/>
        <v>125903</v>
      </c>
      <c r="U243" s="16">
        <f t="shared" si="28"/>
        <v>-182571.57647289531</v>
      </c>
      <c r="V243" s="16">
        <f t="shared" si="29"/>
        <v>-69008.719718192151</v>
      </c>
      <c r="W243" s="17">
        <f t="shared" si="23"/>
        <v>-1.4873006047758992</v>
      </c>
      <c r="X243" s="17">
        <f t="shared" si="24"/>
        <v>-0.53023555327588567</v>
      </c>
    </row>
    <row r="244" spans="14:24" x14ac:dyDescent="0.3">
      <c r="N244" s="10"/>
      <c r="O244" s="10"/>
      <c r="P244" s="10"/>
      <c r="Q244" s="11"/>
      <c r="R244" s="15">
        <f t="shared" si="25"/>
        <v>198371</v>
      </c>
      <c r="S244" s="15">
        <f t="shared" si="27"/>
        <v>197176</v>
      </c>
      <c r="T244" s="15">
        <f t="shared" si="26"/>
        <v>126432</v>
      </c>
      <c r="U244" s="16">
        <f t="shared" si="28"/>
        <v>188281.17522681429</v>
      </c>
      <c r="V244" s="16">
        <f t="shared" si="29"/>
        <v>59059.729101991732</v>
      </c>
      <c r="W244" s="17">
        <f t="shared" si="23"/>
        <v>1.529438031459218</v>
      </c>
      <c r="X244" s="17">
        <f t="shared" si="24"/>
        <v>0.44938662769115667</v>
      </c>
    </row>
    <row r="245" spans="14:24" x14ac:dyDescent="0.3">
      <c r="N245" s="10"/>
      <c r="O245" s="10"/>
      <c r="P245" s="10"/>
      <c r="Q245" s="11"/>
      <c r="R245" s="15">
        <f t="shared" si="25"/>
        <v>199201</v>
      </c>
      <c r="S245" s="15">
        <f t="shared" si="27"/>
        <v>198001</v>
      </c>
      <c r="T245" s="15">
        <f t="shared" si="26"/>
        <v>126961</v>
      </c>
      <c r="U245" s="16">
        <f t="shared" si="28"/>
        <v>-193808.42011208631</v>
      </c>
      <c r="V245" s="16">
        <f t="shared" si="29"/>
        <v>-45590.993177276257</v>
      </c>
      <c r="W245" s="17">
        <f t="shared" si="23"/>
        <v>-1.5787078282636975</v>
      </c>
      <c r="X245" s="17">
        <f t="shared" si="24"/>
        <v>-0.35110849615417605</v>
      </c>
    </row>
    <row r="246" spans="14:24" x14ac:dyDescent="0.3">
      <c r="N246" s="10"/>
      <c r="O246" s="10"/>
      <c r="P246" s="10"/>
      <c r="Q246" s="11"/>
      <c r="R246" s="15">
        <f t="shared" si="25"/>
        <v>200031</v>
      </c>
      <c r="S246" s="15">
        <f t="shared" si="27"/>
        <v>198826</v>
      </c>
      <c r="T246" s="15">
        <f t="shared" si="26"/>
        <v>127490</v>
      </c>
      <c r="U246" s="16">
        <f t="shared" si="28"/>
        <v>195371.12655761052</v>
      </c>
      <c r="V246" s="16">
        <f t="shared" si="29"/>
        <v>32412.147299050055</v>
      </c>
      <c r="W246" s="17">
        <f t="shared" si="23"/>
        <v>1.5871119465390189</v>
      </c>
      <c r="X246" s="17">
        <f t="shared" si="24"/>
        <v>0.24555373642261452</v>
      </c>
    </row>
    <row r="247" spans="14:24" x14ac:dyDescent="0.3">
      <c r="N247" s="10"/>
      <c r="O247" s="10"/>
      <c r="P247" s="10"/>
      <c r="Q247" s="11"/>
      <c r="R247" s="15">
        <f t="shared" si="25"/>
        <v>200861</v>
      </c>
      <c r="S247" s="15">
        <f t="shared" si="27"/>
        <v>199651</v>
      </c>
      <c r="T247" s="15">
        <f t="shared" si="26"/>
        <v>128019</v>
      </c>
      <c r="U247" s="16">
        <f t="shared" si="28"/>
        <v>-197809.40210674077</v>
      </c>
      <c r="V247" s="16">
        <f t="shared" si="29"/>
        <v>-21782.677842759473</v>
      </c>
      <c r="W247" s="17">
        <f t="shared" si="23"/>
        <v>-1.6112542146956055</v>
      </c>
      <c r="X247" s="17">
        <f t="shared" si="24"/>
        <v>-0.16899374417574323</v>
      </c>
    </row>
    <row r="248" spans="14:24" x14ac:dyDescent="0.3">
      <c r="N248" s="10"/>
      <c r="O248" s="10"/>
      <c r="P248" s="10"/>
      <c r="Q248" s="11"/>
      <c r="R248" s="15">
        <f t="shared" si="25"/>
        <v>201691</v>
      </c>
      <c r="S248" s="15">
        <f t="shared" si="27"/>
        <v>200476</v>
      </c>
      <c r="T248" s="15">
        <f t="shared" si="26"/>
        <v>128548</v>
      </c>
      <c r="U248" s="16">
        <f t="shared" si="28"/>
        <v>201471.44395354262</v>
      </c>
      <c r="V248" s="16">
        <f t="shared" si="29"/>
        <v>8404.9259882128808</v>
      </c>
      <c r="W248" s="17">
        <f t="shared" si="23"/>
        <v>1.6367355858332127</v>
      </c>
      <c r="X248" s="17">
        <f t="shared" si="24"/>
        <v>6.1917511293492176E-2</v>
      </c>
    </row>
    <row r="249" spans="14:24" x14ac:dyDescent="0.3">
      <c r="N249" s="10"/>
      <c r="O249" s="10"/>
      <c r="P249" s="10"/>
      <c r="Q249" s="11"/>
      <c r="R249" s="15">
        <f t="shared" si="25"/>
        <v>202521</v>
      </c>
      <c r="S249" s="15">
        <f t="shared" si="27"/>
        <v>201301</v>
      </c>
      <c r="T249" s="15">
        <f t="shared" si="26"/>
        <v>129077</v>
      </c>
      <c r="U249" s="16">
        <f t="shared" si="28"/>
        <v>-201184.33618638219</v>
      </c>
      <c r="V249" s="16">
        <f t="shared" si="29"/>
        <v>6128.2435933530487</v>
      </c>
      <c r="W249" s="17">
        <f t="shared" si="23"/>
        <v>-1.6387079520243364</v>
      </c>
      <c r="X249" s="17">
        <f t="shared" si="24"/>
        <v>4.4502694501627055E-2</v>
      </c>
    </row>
    <row r="250" spans="14:24" x14ac:dyDescent="0.3">
      <c r="N250" s="10"/>
      <c r="O250" s="10"/>
      <c r="P250" s="10"/>
      <c r="Q250" s="11"/>
      <c r="R250" s="15">
        <f t="shared" si="25"/>
        <v>203351</v>
      </c>
      <c r="S250" s="15">
        <f t="shared" si="27"/>
        <v>202126</v>
      </c>
      <c r="T250" s="15">
        <f t="shared" si="26"/>
        <v>129606</v>
      </c>
      <c r="U250" s="16">
        <f t="shared" si="28"/>
        <v>200202.59234683387</v>
      </c>
      <c r="V250" s="16">
        <f t="shared" si="29"/>
        <v>-17454.61071404711</v>
      </c>
      <c r="W250" s="17">
        <f t="shared" si="23"/>
        <v>1.6264139860929827</v>
      </c>
      <c r="X250" s="17">
        <f t="shared" si="24"/>
        <v>-0.13588745922374842</v>
      </c>
    </row>
    <row r="251" spans="14:24" x14ac:dyDescent="0.3">
      <c r="N251" s="10"/>
      <c r="O251" s="10"/>
      <c r="P251" s="10"/>
      <c r="Q251" s="11"/>
      <c r="R251" s="15">
        <f t="shared" si="25"/>
        <v>204181</v>
      </c>
      <c r="S251" s="15">
        <f t="shared" si="27"/>
        <v>202951</v>
      </c>
      <c r="T251" s="15">
        <f t="shared" si="26"/>
        <v>130135</v>
      </c>
      <c r="U251" s="16">
        <f t="shared" si="28"/>
        <v>-201420.3481703678</v>
      </c>
      <c r="V251" s="16">
        <f t="shared" si="29"/>
        <v>30107.426824548184</v>
      </c>
      <c r="W251" s="17">
        <f t="shared" si="23"/>
        <v>-1.6406278150088784</v>
      </c>
      <c r="X251" s="17">
        <f t="shared" si="24"/>
        <v>0.22792445053252811</v>
      </c>
    </row>
    <row r="252" spans="14:24" x14ac:dyDescent="0.3">
      <c r="N252" s="10"/>
      <c r="O252" s="10"/>
      <c r="P252" s="10"/>
      <c r="Q252" s="11"/>
      <c r="R252" s="15">
        <f t="shared" si="25"/>
        <v>205011</v>
      </c>
      <c r="S252" s="15">
        <f t="shared" si="27"/>
        <v>203776</v>
      </c>
      <c r="T252" s="15">
        <f t="shared" si="26"/>
        <v>130664</v>
      </c>
      <c r="U252" s="16">
        <f t="shared" si="28"/>
        <v>199498.26641513663</v>
      </c>
      <c r="V252" s="16">
        <f t="shared" si="29"/>
        <v>-45143.95533773319</v>
      </c>
      <c r="W252" s="17">
        <f t="shared" si="23"/>
        <v>1.6206845766685816</v>
      </c>
      <c r="X252" s="17">
        <f t="shared" si="24"/>
        <v>-0.34768901081346698</v>
      </c>
    </row>
    <row r="253" spans="14:24" x14ac:dyDescent="0.3">
      <c r="N253" s="10"/>
      <c r="O253" s="10"/>
      <c r="P253" s="10"/>
      <c r="Q253" s="11"/>
      <c r="R253" s="15">
        <f t="shared" si="25"/>
        <v>205841</v>
      </c>
      <c r="S253" s="15">
        <f t="shared" si="27"/>
        <v>204601</v>
      </c>
      <c r="T253" s="15">
        <f t="shared" si="26"/>
        <v>131193</v>
      </c>
      <c r="U253" s="16">
        <f t="shared" si="28"/>
        <v>-195269.52780465203</v>
      </c>
      <c r="V253" s="16">
        <f t="shared" si="29"/>
        <v>57099.977137730377</v>
      </c>
      <c r="W253" s="17">
        <f t="shared" si="23"/>
        <v>-1.5905933542781638</v>
      </c>
      <c r="X253" s="17">
        <f t="shared" si="24"/>
        <v>0.43439607762929328</v>
      </c>
    </row>
    <row r="254" spans="14:24" x14ac:dyDescent="0.3">
      <c r="N254" s="10"/>
      <c r="O254" s="10"/>
      <c r="P254" s="10"/>
      <c r="Q254" s="11"/>
      <c r="R254" s="15">
        <f t="shared" si="25"/>
        <v>206671</v>
      </c>
      <c r="S254" s="15">
        <f t="shared" si="27"/>
        <v>205426</v>
      </c>
      <c r="T254" s="15">
        <f t="shared" si="26"/>
        <v>131722</v>
      </c>
      <c r="U254" s="16">
        <f t="shared" si="28"/>
        <v>193529.96231530889</v>
      </c>
      <c r="V254" s="16">
        <f t="shared" si="29"/>
        <v>-68608.29876210542</v>
      </c>
      <c r="W254" s="17">
        <f t="shared" si="23"/>
        <v>1.5721348126767269</v>
      </c>
      <c r="X254" s="17">
        <f t="shared" si="24"/>
        <v>-0.52717265016493009</v>
      </c>
    </row>
    <row r="255" spans="14:24" x14ac:dyDescent="0.3">
      <c r="N255" s="10"/>
      <c r="O255" s="10"/>
      <c r="P255" s="10"/>
      <c r="Q255" s="11"/>
      <c r="R255" s="15">
        <f t="shared" si="25"/>
        <v>207501</v>
      </c>
      <c r="S255" s="15">
        <f t="shared" si="27"/>
        <v>206251</v>
      </c>
      <c r="T255" s="15">
        <f t="shared" si="26"/>
        <v>132251</v>
      </c>
      <c r="U255" s="16">
        <f t="shared" si="28"/>
        <v>-190071.36845858782</v>
      </c>
      <c r="V255" s="16">
        <f t="shared" si="29"/>
        <v>83172.693832935533</v>
      </c>
      <c r="W255" s="17">
        <f t="shared" si="23"/>
        <v>-1.5483084094726949</v>
      </c>
      <c r="X255" s="17">
        <f t="shared" si="24"/>
        <v>0.63383170621689666</v>
      </c>
    </row>
    <row r="256" spans="14:24" x14ac:dyDescent="0.3">
      <c r="N256" s="10"/>
      <c r="O256" s="10"/>
      <c r="P256" s="10"/>
      <c r="Q256" s="11"/>
      <c r="R256" s="15">
        <f t="shared" si="25"/>
        <v>208331</v>
      </c>
      <c r="S256" s="15">
        <f t="shared" si="27"/>
        <v>207076</v>
      </c>
      <c r="T256" s="15">
        <f t="shared" si="26"/>
        <v>132780</v>
      </c>
      <c r="U256" s="16">
        <f t="shared" si="28"/>
        <v>183042.6754761643</v>
      </c>
      <c r="V256" s="16">
        <f t="shared" si="29"/>
        <v>-95521.247351766113</v>
      </c>
      <c r="W256" s="17">
        <f t="shared" si="23"/>
        <v>1.486824933615764</v>
      </c>
      <c r="X256" s="17">
        <f t="shared" si="24"/>
        <v>-0.73303538713517902</v>
      </c>
    </row>
    <row r="257" spans="14:24" x14ac:dyDescent="0.3">
      <c r="N257" s="10"/>
      <c r="O257" s="10"/>
      <c r="P257" s="10"/>
      <c r="Q257" s="11"/>
      <c r="R257" s="15">
        <f t="shared" si="25"/>
        <v>209161</v>
      </c>
      <c r="S257" s="15">
        <f t="shared" si="27"/>
        <v>207901</v>
      </c>
      <c r="T257" s="15">
        <f t="shared" si="26"/>
        <v>133309</v>
      </c>
      <c r="U257" s="16">
        <f t="shared" si="28"/>
        <v>-178019.07594546938</v>
      </c>
      <c r="V257" s="16">
        <f t="shared" si="29"/>
        <v>105686.14381394444</v>
      </c>
      <c r="W257" s="17">
        <f t="shared" si="23"/>
        <v>-1.4502678359218957</v>
      </c>
      <c r="X257" s="17">
        <f t="shared" si="24"/>
        <v>0.806041763999782</v>
      </c>
    </row>
    <row r="258" spans="14:24" x14ac:dyDescent="0.3">
      <c r="N258" s="10"/>
      <c r="O258" s="10"/>
      <c r="P258" s="10"/>
      <c r="Q258" s="11"/>
      <c r="R258" s="15">
        <f t="shared" si="25"/>
        <v>209991</v>
      </c>
      <c r="S258" s="15">
        <f t="shared" si="27"/>
        <v>208726</v>
      </c>
      <c r="T258" s="15">
        <f t="shared" si="26"/>
        <v>133838</v>
      </c>
      <c r="U258" s="16">
        <f t="shared" si="28"/>
        <v>172978.95764129603</v>
      </c>
      <c r="V258" s="16">
        <f t="shared" si="29"/>
        <v>-118811.57022147471</v>
      </c>
      <c r="W258" s="17">
        <f t="shared" si="23"/>
        <v>1.4049606187968231</v>
      </c>
      <c r="X258" s="17">
        <f t="shared" si="24"/>
        <v>-0.91118790709804054</v>
      </c>
    </row>
    <row r="259" spans="14:24" x14ac:dyDescent="0.3">
      <c r="N259" s="10"/>
      <c r="O259" s="10"/>
      <c r="P259" s="10"/>
      <c r="Q259" s="11"/>
      <c r="R259" s="15">
        <f t="shared" si="25"/>
        <v>210821</v>
      </c>
      <c r="S259" s="15">
        <f t="shared" si="27"/>
        <v>209551</v>
      </c>
      <c r="T259" s="15">
        <f t="shared" si="26"/>
        <v>134367</v>
      </c>
      <c r="U259" s="16">
        <f t="shared" si="28"/>
        <v>-163775.30168621792</v>
      </c>
      <c r="V259" s="16">
        <f t="shared" si="29"/>
        <v>131097.01369714702</v>
      </c>
      <c r="W259" s="17">
        <f t="shared" si="23"/>
        <v>-1.3344004358911443</v>
      </c>
      <c r="X259" s="17">
        <f t="shared" si="24"/>
        <v>1.0004147887734642</v>
      </c>
    </row>
    <row r="260" spans="14:24" x14ac:dyDescent="0.3">
      <c r="N260" s="10"/>
      <c r="O260" s="10"/>
      <c r="P260" s="10"/>
      <c r="Q260" s="11"/>
      <c r="R260" s="15">
        <f t="shared" si="25"/>
        <v>211651</v>
      </c>
      <c r="S260" s="15">
        <f t="shared" si="27"/>
        <v>210376</v>
      </c>
      <c r="T260" s="15">
        <f t="shared" si="26"/>
        <v>134896</v>
      </c>
      <c r="U260" s="16">
        <f t="shared" si="28"/>
        <v>155424.92702428179</v>
      </c>
      <c r="V260" s="16">
        <f t="shared" si="29"/>
        <v>-139891.98223041918</v>
      </c>
      <c r="W260" s="17">
        <f t="shared" si="23"/>
        <v>1.2621656088062245</v>
      </c>
      <c r="X260" s="17">
        <f t="shared" si="24"/>
        <v>-1.0724363596101896</v>
      </c>
    </row>
    <row r="261" spans="14:24" x14ac:dyDescent="0.3">
      <c r="N261" s="10"/>
      <c r="O261" s="10"/>
      <c r="P261" s="10"/>
      <c r="Q261" s="11"/>
      <c r="R261" s="15">
        <f t="shared" si="25"/>
        <v>212481</v>
      </c>
      <c r="S261" s="15">
        <f t="shared" si="27"/>
        <v>211201</v>
      </c>
      <c r="T261" s="15">
        <f t="shared" si="26"/>
        <v>135425</v>
      </c>
      <c r="U261" s="16">
        <f t="shared" si="28"/>
        <v>-148642.26760521749</v>
      </c>
      <c r="V261" s="16">
        <f t="shared" si="29"/>
        <v>150755.29562703625</v>
      </c>
      <c r="W261" s="17">
        <f t="shared" ref="W261:W324" si="30">(U261-$W$1)/$W$2</f>
        <v>-1.2112992632926387</v>
      </c>
      <c r="X261" s="17">
        <f t="shared" ref="X261:X324" si="31">(V261-$X$1)/$X$2</f>
        <v>1.1507850727554469</v>
      </c>
    </row>
    <row r="262" spans="14:24" x14ac:dyDescent="0.3">
      <c r="N262" s="10"/>
      <c r="O262" s="10"/>
      <c r="P262" s="10"/>
      <c r="Q262" s="11"/>
      <c r="R262" s="15">
        <f t="shared" ref="R262:R325" si="32">R261+a_inc</f>
        <v>213311</v>
      </c>
      <c r="S262" s="15">
        <f t="shared" si="27"/>
        <v>212026</v>
      </c>
      <c r="T262" s="15">
        <f t="shared" ref="T262:T325" si="33">T261+t_inc</f>
        <v>135954</v>
      </c>
      <c r="U262" s="16">
        <f t="shared" si="28"/>
        <v>137944.7465755434</v>
      </c>
      <c r="V262" s="16">
        <f t="shared" si="29"/>
        <v>-162309.17518014411</v>
      </c>
      <c r="W262" s="17">
        <f t="shared" si="30"/>
        <v>1.1199713403630704</v>
      </c>
      <c r="X262" s="17">
        <f t="shared" si="31"/>
        <v>-1.2439101273560791</v>
      </c>
    </row>
    <row r="263" spans="14:24" x14ac:dyDescent="0.3">
      <c r="N263" s="10"/>
      <c r="O263" s="10"/>
      <c r="P263" s="10"/>
      <c r="Q263" s="11"/>
      <c r="R263" s="15">
        <f t="shared" si="32"/>
        <v>214141</v>
      </c>
      <c r="S263" s="15">
        <f t="shared" ref="S263:S326" si="34">S262+b_inc</f>
        <v>212851</v>
      </c>
      <c r="T263" s="15">
        <f t="shared" si="33"/>
        <v>136483</v>
      </c>
      <c r="U263" s="16">
        <f t="shared" si="28"/>
        <v>-126559.33949878601</v>
      </c>
      <c r="V263" s="16">
        <f t="shared" si="29"/>
        <v>169791.95514335865</v>
      </c>
      <c r="W263" s="17">
        <f t="shared" si="30"/>
        <v>-1.0316634857109823</v>
      </c>
      <c r="X263" s="17">
        <f t="shared" si="31"/>
        <v>1.2964004377068157</v>
      </c>
    </row>
    <row r="264" spans="14:24" x14ac:dyDescent="0.3">
      <c r="N264" s="10"/>
      <c r="O264" s="10"/>
      <c r="P264" s="10"/>
      <c r="Q264" s="11"/>
      <c r="R264" s="15">
        <f t="shared" si="32"/>
        <v>214971</v>
      </c>
      <c r="S264" s="15">
        <f t="shared" si="34"/>
        <v>213676</v>
      </c>
      <c r="T264" s="15">
        <f t="shared" si="33"/>
        <v>137012</v>
      </c>
      <c r="U264" s="16">
        <f t="shared" si="28"/>
        <v>117833.4360475018</v>
      </c>
      <c r="V264" s="16">
        <f t="shared" si="29"/>
        <v>-177821.51153740083</v>
      </c>
      <c r="W264" s="17">
        <f t="shared" si="30"/>
        <v>0.95637388229596154</v>
      </c>
      <c r="X264" s="17">
        <f t="shared" si="31"/>
        <v>-1.3625672120180994</v>
      </c>
    </row>
    <row r="265" spans="14:24" x14ac:dyDescent="0.3">
      <c r="N265" s="10"/>
      <c r="O265" s="10"/>
      <c r="P265" s="10"/>
      <c r="Q265" s="11"/>
      <c r="R265" s="15">
        <f t="shared" si="32"/>
        <v>215801</v>
      </c>
      <c r="S265" s="15">
        <f t="shared" si="34"/>
        <v>214501</v>
      </c>
      <c r="T265" s="15">
        <f t="shared" si="33"/>
        <v>137541</v>
      </c>
      <c r="U265" s="16">
        <f t="shared" ref="U265:U328" si="35">(R265-S265)*COS(T265)+S265*COS((R265/S265-1)*T265)</f>
        <v>-106260.29329933284</v>
      </c>
      <c r="V265" s="16">
        <f t="shared" ref="V265:V328" si="36">(R265-S265)*SIN(T265)-S265*SIN((R265/S265-1)*T265)</f>
        <v>187826.46491882001</v>
      </c>
      <c r="W265" s="17">
        <f t="shared" si="30"/>
        <v>-0.86653887313106193</v>
      </c>
      <c r="X265" s="17">
        <f t="shared" si="31"/>
        <v>1.4343501510176599</v>
      </c>
    </row>
    <row r="266" spans="14:24" x14ac:dyDescent="0.3">
      <c r="N266" s="10"/>
      <c r="O266" s="10"/>
      <c r="P266" s="10"/>
      <c r="Q266" s="11"/>
      <c r="R266" s="15">
        <f t="shared" si="32"/>
        <v>216631</v>
      </c>
      <c r="S266" s="15">
        <f t="shared" si="34"/>
        <v>215326</v>
      </c>
      <c r="T266" s="15">
        <f t="shared" si="33"/>
        <v>138070</v>
      </c>
      <c r="U266" s="16">
        <f t="shared" si="35"/>
        <v>92455.134447442731</v>
      </c>
      <c r="V266" s="16">
        <f t="shared" si="36"/>
        <v>-194035.42454116754</v>
      </c>
      <c r="W266" s="17">
        <f t="shared" si="30"/>
        <v>0.74993156089472157</v>
      </c>
      <c r="X266" s="17">
        <f t="shared" si="31"/>
        <v>-1.4865908022550769</v>
      </c>
    </row>
    <row r="267" spans="14:24" x14ac:dyDescent="0.3">
      <c r="N267" s="10"/>
      <c r="O267" s="10"/>
      <c r="P267" s="10"/>
      <c r="Q267" s="11"/>
      <c r="R267" s="15">
        <f t="shared" si="32"/>
        <v>217461</v>
      </c>
      <c r="S267" s="15">
        <f t="shared" si="34"/>
        <v>216151</v>
      </c>
      <c r="T267" s="15">
        <f t="shared" si="33"/>
        <v>138599</v>
      </c>
      <c r="U267" s="16">
        <f t="shared" si="35"/>
        <v>-81652.153694018358</v>
      </c>
      <c r="V267" s="16">
        <f t="shared" si="36"/>
        <v>198968.4816919562</v>
      </c>
      <c r="W267" s="17">
        <f t="shared" si="30"/>
        <v>-0.66636151116468467</v>
      </c>
      <c r="X267" s="17">
        <f t="shared" si="31"/>
        <v>1.5195777529151135</v>
      </c>
    </row>
    <row r="268" spans="14:24" x14ac:dyDescent="0.3">
      <c r="N268" s="10"/>
      <c r="O268" s="10"/>
      <c r="P268" s="10"/>
      <c r="Q268" s="11"/>
      <c r="R268" s="15">
        <f t="shared" si="32"/>
        <v>218291</v>
      </c>
      <c r="S268" s="15">
        <f t="shared" si="34"/>
        <v>216976</v>
      </c>
      <c r="T268" s="15">
        <f t="shared" si="33"/>
        <v>139128</v>
      </c>
      <c r="U268" s="16">
        <f t="shared" si="35"/>
        <v>69670.561013192506</v>
      </c>
      <c r="V268" s="16">
        <f t="shared" si="36"/>
        <v>-206569.87051338144</v>
      </c>
      <c r="W268" s="17">
        <f t="shared" si="30"/>
        <v>0.56458817952783413</v>
      </c>
      <c r="X268" s="17">
        <f t="shared" si="31"/>
        <v>-1.5824693844791364</v>
      </c>
    </row>
    <row r="269" spans="14:24" x14ac:dyDescent="0.3">
      <c r="N269" s="10"/>
      <c r="O269" s="10"/>
      <c r="P269" s="10"/>
      <c r="Q269" s="11"/>
      <c r="R269" s="15">
        <f t="shared" si="32"/>
        <v>219121</v>
      </c>
      <c r="S269" s="15">
        <f t="shared" si="34"/>
        <v>217801</v>
      </c>
      <c r="T269" s="15">
        <f t="shared" si="33"/>
        <v>139657</v>
      </c>
      <c r="U269" s="16">
        <f t="shared" si="35"/>
        <v>-54311.703972102237</v>
      </c>
      <c r="V269" s="16">
        <f t="shared" si="36"/>
        <v>211433.69000611608</v>
      </c>
      <c r="W269" s="17">
        <f t="shared" si="30"/>
        <v>-0.44395790048598133</v>
      </c>
      <c r="X269" s="17">
        <f t="shared" si="31"/>
        <v>1.6149267219033387</v>
      </c>
    </row>
    <row r="270" spans="14:24" x14ac:dyDescent="0.3">
      <c r="N270" s="10"/>
      <c r="O270" s="10"/>
      <c r="P270" s="10"/>
      <c r="Q270" s="11"/>
      <c r="R270" s="15">
        <f t="shared" si="32"/>
        <v>219951</v>
      </c>
      <c r="S270" s="15">
        <f t="shared" si="34"/>
        <v>218626</v>
      </c>
      <c r="T270" s="15">
        <f t="shared" si="33"/>
        <v>140186</v>
      </c>
      <c r="U270" s="16">
        <f t="shared" si="35"/>
        <v>41474.261579838036</v>
      </c>
      <c r="V270" s="16">
        <f t="shared" si="36"/>
        <v>-213311.78005084748</v>
      </c>
      <c r="W270" s="17">
        <f t="shared" si="30"/>
        <v>0.33522257415049816</v>
      </c>
      <c r="X270" s="17">
        <f t="shared" si="31"/>
        <v>-1.6340396516746745</v>
      </c>
    </row>
    <row r="271" spans="14:24" x14ac:dyDescent="0.3">
      <c r="N271" s="10"/>
      <c r="O271" s="10"/>
      <c r="P271" s="10"/>
      <c r="Q271" s="11"/>
      <c r="R271" s="15">
        <f t="shared" si="32"/>
        <v>220781</v>
      </c>
      <c r="S271" s="15">
        <f t="shared" si="34"/>
        <v>219451</v>
      </c>
      <c r="T271" s="15">
        <f t="shared" si="33"/>
        <v>140715</v>
      </c>
      <c r="U271" s="16">
        <f t="shared" si="35"/>
        <v>-29363.085581631552</v>
      </c>
      <c r="V271" s="16">
        <f t="shared" si="36"/>
        <v>217754.34216381877</v>
      </c>
      <c r="W271" s="17">
        <f t="shared" si="30"/>
        <v>-0.24101087993869433</v>
      </c>
      <c r="X271" s="17">
        <f t="shared" si="31"/>
        <v>1.6632747038528701</v>
      </c>
    </row>
    <row r="272" spans="14:24" x14ac:dyDescent="0.3">
      <c r="N272" s="10"/>
      <c r="O272" s="10"/>
      <c r="P272" s="10"/>
      <c r="Q272" s="11"/>
      <c r="R272" s="15">
        <f t="shared" si="32"/>
        <v>221611</v>
      </c>
      <c r="S272" s="15">
        <f t="shared" si="34"/>
        <v>220276</v>
      </c>
      <c r="T272" s="15">
        <f t="shared" si="33"/>
        <v>141244</v>
      </c>
      <c r="U272" s="16">
        <f t="shared" si="35"/>
        <v>13446.831977733375</v>
      </c>
      <c r="V272" s="16">
        <f t="shared" si="36"/>
        <v>-221040.78328496177</v>
      </c>
      <c r="W272" s="17">
        <f t="shared" si="30"/>
        <v>0.10723065723061845</v>
      </c>
      <c r="X272" s="17">
        <f t="shared" si="31"/>
        <v>-1.6931604036995174</v>
      </c>
    </row>
    <row r="273" spans="14:24" x14ac:dyDescent="0.3">
      <c r="N273" s="10"/>
      <c r="O273" s="10"/>
      <c r="P273" s="10"/>
      <c r="Q273" s="11"/>
      <c r="R273" s="15">
        <f t="shared" si="32"/>
        <v>222441</v>
      </c>
      <c r="S273" s="15">
        <f t="shared" si="34"/>
        <v>221101</v>
      </c>
      <c r="T273" s="15">
        <f t="shared" si="33"/>
        <v>141773</v>
      </c>
      <c r="U273" s="16">
        <f t="shared" si="35"/>
        <v>1122.691971829249</v>
      </c>
      <c r="V273" s="16">
        <f t="shared" si="36"/>
        <v>220145.97102235461</v>
      </c>
      <c r="W273" s="17">
        <f t="shared" si="30"/>
        <v>6.9787131806345448E-3</v>
      </c>
      <c r="X273" s="17">
        <f t="shared" si="31"/>
        <v>1.6815687700342461</v>
      </c>
    </row>
    <row r="274" spans="14:24" x14ac:dyDescent="0.3">
      <c r="N274" s="10"/>
      <c r="O274" s="10"/>
      <c r="P274" s="10"/>
      <c r="Q274" s="11"/>
      <c r="R274" s="15">
        <f t="shared" si="32"/>
        <v>223271</v>
      </c>
      <c r="S274" s="15">
        <f t="shared" si="34"/>
        <v>221926</v>
      </c>
      <c r="T274" s="15">
        <f t="shared" si="33"/>
        <v>142302</v>
      </c>
      <c r="U274" s="16">
        <f t="shared" si="35"/>
        <v>-13251.597188855974</v>
      </c>
      <c r="V274" s="16">
        <f t="shared" si="36"/>
        <v>-220905.68789521829</v>
      </c>
      <c r="W274" s="17">
        <f t="shared" si="30"/>
        <v>-0.10995037331180559</v>
      </c>
      <c r="X274" s="17">
        <f t="shared" si="31"/>
        <v>-1.6921270309870475</v>
      </c>
    </row>
    <row r="275" spans="14:24" x14ac:dyDescent="0.3">
      <c r="N275" s="10"/>
      <c r="O275" s="10"/>
      <c r="P275" s="10"/>
      <c r="Q275" s="11"/>
      <c r="R275" s="15">
        <f t="shared" si="32"/>
        <v>224101</v>
      </c>
      <c r="S275" s="15">
        <f t="shared" si="34"/>
        <v>222751</v>
      </c>
      <c r="T275" s="15">
        <f t="shared" si="33"/>
        <v>142831</v>
      </c>
      <c r="U275" s="16">
        <f t="shared" si="35"/>
        <v>28741.543729170877</v>
      </c>
      <c r="V275" s="16">
        <f t="shared" si="36"/>
        <v>222225.77411918214</v>
      </c>
      <c r="W275" s="17">
        <f t="shared" si="30"/>
        <v>0.23164701293829251</v>
      </c>
      <c r="X275" s="17">
        <f t="shared" si="31"/>
        <v>1.6974776161588436</v>
      </c>
    </row>
    <row r="276" spans="14:24" x14ac:dyDescent="0.3">
      <c r="N276" s="10"/>
      <c r="O276" s="10"/>
      <c r="P276" s="10"/>
      <c r="Q276" s="11"/>
      <c r="R276" s="15">
        <f t="shared" si="32"/>
        <v>224931</v>
      </c>
      <c r="S276" s="15">
        <f t="shared" si="34"/>
        <v>223576</v>
      </c>
      <c r="T276" s="15">
        <f t="shared" si="33"/>
        <v>143360</v>
      </c>
      <c r="U276" s="16">
        <f t="shared" si="35"/>
        <v>-44448.093991636524</v>
      </c>
      <c r="V276" s="16">
        <f t="shared" si="36"/>
        <v>-218974.73509465443</v>
      </c>
      <c r="W276" s="17">
        <f t="shared" si="30"/>
        <v>-0.36372138293434814</v>
      </c>
      <c r="X276" s="17">
        <f t="shared" si="31"/>
        <v>-1.6773567717135187</v>
      </c>
    </row>
    <row r="277" spans="14:24" x14ac:dyDescent="0.3">
      <c r="N277" s="10"/>
      <c r="O277" s="10"/>
      <c r="P277" s="10"/>
      <c r="Q277" s="11"/>
      <c r="R277" s="15">
        <f t="shared" si="32"/>
        <v>225761</v>
      </c>
      <c r="S277" s="15">
        <f t="shared" si="34"/>
        <v>224401</v>
      </c>
      <c r="T277" s="15">
        <f t="shared" si="33"/>
        <v>143889</v>
      </c>
      <c r="U277" s="16">
        <f t="shared" si="35"/>
        <v>56577.268610856634</v>
      </c>
      <c r="V277" s="16">
        <f t="shared" si="36"/>
        <v>215856.0286381495</v>
      </c>
      <c r="W277" s="17">
        <f t="shared" si="30"/>
        <v>0.45807948872099374</v>
      </c>
      <c r="X277" s="17">
        <f t="shared" si="31"/>
        <v>1.6487541091762967</v>
      </c>
    </row>
    <row r="278" spans="14:24" x14ac:dyDescent="0.3">
      <c r="N278" s="10"/>
      <c r="O278" s="10"/>
      <c r="P278" s="10"/>
      <c r="Q278" s="11"/>
      <c r="R278" s="15">
        <f t="shared" si="32"/>
        <v>226591</v>
      </c>
      <c r="S278" s="15">
        <f t="shared" si="34"/>
        <v>225226</v>
      </c>
      <c r="T278" s="15">
        <f t="shared" si="33"/>
        <v>144418</v>
      </c>
      <c r="U278" s="16">
        <f t="shared" si="35"/>
        <v>-70804.02649075193</v>
      </c>
      <c r="V278" s="16">
        <f t="shared" si="36"/>
        <v>-214726.1524066673</v>
      </c>
      <c r="W278" s="17">
        <f t="shared" si="30"/>
        <v>-0.57811634023121883</v>
      </c>
      <c r="X278" s="17">
        <f t="shared" si="31"/>
        <v>-1.6448584797675572</v>
      </c>
    </row>
    <row r="279" spans="14:24" x14ac:dyDescent="0.3">
      <c r="N279" s="10"/>
      <c r="O279" s="10"/>
      <c r="P279" s="10"/>
      <c r="Q279" s="11"/>
      <c r="R279" s="15">
        <f t="shared" si="32"/>
        <v>227421</v>
      </c>
      <c r="S279" s="15">
        <f t="shared" si="34"/>
        <v>226051</v>
      </c>
      <c r="T279" s="15">
        <f t="shared" si="33"/>
        <v>144947</v>
      </c>
      <c r="U279" s="16">
        <f t="shared" si="35"/>
        <v>86790.216347260808</v>
      </c>
      <c r="V279" s="16">
        <f t="shared" si="36"/>
        <v>209549.07523765875</v>
      </c>
      <c r="W279" s="17">
        <f t="shared" si="30"/>
        <v>0.70384972052654127</v>
      </c>
      <c r="X279" s="17">
        <f t="shared" si="31"/>
        <v>1.6005109118676362</v>
      </c>
    </row>
    <row r="280" spans="14:24" x14ac:dyDescent="0.3">
      <c r="N280" s="10"/>
      <c r="O280" s="10"/>
      <c r="P280" s="10"/>
      <c r="Q280" s="11"/>
      <c r="R280" s="15">
        <f t="shared" si="32"/>
        <v>228251</v>
      </c>
      <c r="S280" s="15">
        <f t="shared" si="34"/>
        <v>226876</v>
      </c>
      <c r="T280" s="15">
        <f t="shared" si="33"/>
        <v>145476</v>
      </c>
      <c r="U280" s="16">
        <f t="shared" si="35"/>
        <v>-98893.045746690448</v>
      </c>
      <c r="V280" s="16">
        <f t="shared" si="36"/>
        <v>-202724.58283856447</v>
      </c>
      <c r="W280" s="17">
        <f t="shared" si="30"/>
        <v>-0.80660926432297841</v>
      </c>
      <c r="X280" s="17">
        <f t="shared" si="31"/>
        <v>-1.5530559799040651</v>
      </c>
    </row>
    <row r="281" spans="14:24" x14ac:dyDescent="0.3">
      <c r="N281" s="10"/>
      <c r="O281" s="10"/>
      <c r="P281" s="10"/>
      <c r="Q281" s="11"/>
      <c r="R281" s="15">
        <f t="shared" si="32"/>
        <v>229081</v>
      </c>
      <c r="S281" s="15">
        <f t="shared" si="34"/>
        <v>227701</v>
      </c>
      <c r="T281" s="15">
        <f t="shared" si="33"/>
        <v>146005</v>
      </c>
      <c r="U281" s="16">
        <f t="shared" si="35"/>
        <v>111263.04521983264</v>
      </c>
      <c r="V281" s="16">
        <f t="shared" si="36"/>
        <v>198674.2186237165</v>
      </c>
      <c r="W281" s="17">
        <f t="shared" si="30"/>
        <v>0.90292638386390423</v>
      </c>
      <c r="X281" s="17">
        <f t="shared" si="31"/>
        <v>1.5173268735506591</v>
      </c>
    </row>
    <row r="282" spans="14:24" x14ac:dyDescent="0.3">
      <c r="N282" s="10"/>
      <c r="O282" s="10"/>
      <c r="P282" s="10"/>
      <c r="Q282" s="11"/>
      <c r="R282" s="15">
        <f t="shared" si="32"/>
        <v>229911</v>
      </c>
      <c r="S282" s="15">
        <f t="shared" si="34"/>
        <v>228526</v>
      </c>
      <c r="T282" s="15">
        <f t="shared" si="33"/>
        <v>146534</v>
      </c>
      <c r="U282" s="16">
        <f t="shared" si="35"/>
        <v>-126500.77709304943</v>
      </c>
      <c r="V282" s="16">
        <f t="shared" si="36"/>
        <v>-191909.12028881267</v>
      </c>
      <c r="W282" s="17">
        <f t="shared" si="30"/>
        <v>-1.031187103990187</v>
      </c>
      <c r="X282" s="17">
        <f t="shared" si="31"/>
        <v>-1.4703262591277062</v>
      </c>
    </row>
    <row r="283" spans="14:24" x14ac:dyDescent="0.3">
      <c r="N283" s="10"/>
      <c r="O283" s="10"/>
      <c r="P283" s="10"/>
      <c r="Q283" s="11"/>
      <c r="R283" s="15">
        <f t="shared" si="32"/>
        <v>230741</v>
      </c>
      <c r="S283" s="15">
        <f t="shared" si="34"/>
        <v>229351</v>
      </c>
      <c r="T283" s="15">
        <f t="shared" si="33"/>
        <v>147063</v>
      </c>
      <c r="U283" s="16">
        <f t="shared" si="35"/>
        <v>138435.75979353109</v>
      </c>
      <c r="V283" s="16">
        <f t="shared" si="36"/>
        <v>181892.08151305927</v>
      </c>
      <c r="W283" s="17">
        <f t="shared" si="30"/>
        <v>1.1239655362772618</v>
      </c>
      <c r="X283" s="17">
        <f t="shared" si="31"/>
        <v>1.3889568190283859</v>
      </c>
    </row>
    <row r="284" spans="14:24" x14ac:dyDescent="0.3">
      <c r="N284" s="10"/>
      <c r="O284" s="10"/>
      <c r="P284" s="10"/>
      <c r="Q284" s="11"/>
      <c r="R284" s="15">
        <f t="shared" si="32"/>
        <v>231571</v>
      </c>
      <c r="S284" s="15">
        <f t="shared" si="34"/>
        <v>230176</v>
      </c>
      <c r="T284" s="15">
        <f t="shared" si="33"/>
        <v>147592</v>
      </c>
      <c r="U284" s="16">
        <f t="shared" si="35"/>
        <v>-148637.24764099883</v>
      </c>
      <c r="V284" s="16">
        <f t="shared" si="36"/>
        <v>-174592.55779798023</v>
      </c>
      <c r="W284" s="17">
        <f t="shared" si="30"/>
        <v>-1.2112584278938408</v>
      </c>
      <c r="X284" s="17">
        <f t="shared" si="31"/>
        <v>-1.3378682738050336</v>
      </c>
    </row>
    <row r="285" spans="14:24" x14ac:dyDescent="0.3">
      <c r="N285" s="10"/>
      <c r="O285" s="10"/>
      <c r="P285" s="10"/>
      <c r="Q285" s="11"/>
      <c r="R285" s="15">
        <f t="shared" si="32"/>
        <v>232401</v>
      </c>
      <c r="S285" s="15">
        <f t="shared" si="34"/>
        <v>231001</v>
      </c>
      <c r="T285" s="15">
        <f t="shared" si="33"/>
        <v>148121</v>
      </c>
      <c r="U285" s="16">
        <f t="shared" si="35"/>
        <v>162063.81195099268</v>
      </c>
      <c r="V285" s="16">
        <f t="shared" si="36"/>
        <v>166421.70305414477</v>
      </c>
      <c r="W285" s="17">
        <f t="shared" si="30"/>
        <v>1.3161702793072128</v>
      </c>
      <c r="X285" s="17">
        <f t="shared" si="31"/>
        <v>1.2706206790507235</v>
      </c>
    </row>
    <row r="286" spans="14:24" x14ac:dyDescent="0.3">
      <c r="N286" s="10"/>
      <c r="O286" s="10"/>
      <c r="P286" s="10"/>
      <c r="Q286" s="11"/>
      <c r="R286" s="15">
        <f t="shared" si="32"/>
        <v>233231</v>
      </c>
      <c r="S286" s="15">
        <f t="shared" si="34"/>
        <v>231826</v>
      </c>
      <c r="T286" s="15">
        <f t="shared" si="33"/>
        <v>148650</v>
      </c>
      <c r="U286" s="16">
        <f t="shared" si="35"/>
        <v>-173496.7331783236</v>
      </c>
      <c r="V286" s="16">
        <f t="shared" si="36"/>
        <v>-153976.44441288282</v>
      </c>
      <c r="W286" s="17">
        <f t="shared" si="30"/>
        <v>-1.4134803883718394</v>
      </c>
      <c r="X286" s="17">
        <f t="shared" si="31"/>
        <v>-1.180171337959973</v>
      </c>
    </row>
    <row r="287" spans="14:24" x14ac:dyDescent="0.3">
      <c r="N287" s="10"/>
      <c r="O287" s="10"/>
      <c r="P287" s="10"/>
      <c r="Q287" s="11"/>
      <c r="R287" s="15">
        <f t="shared" si="32"/>
        <v>234061</v>
      </c>
      <c r="S287" s="15">
        <f t="shared" si="34"/>
        <v>232651</v>
      </c>
      <c r="T287" s="15">
        <f t="shared" si="33"/>
        <v>149179</v>
      </c>
      <c r="U287" s="16">
        <f t="shared" si="35"/>
        <v>181473.90135337668</v>
      </c>
      <c r="V287" s="16">
        <f t="shared" si="36"/>
        <v>143359.69918353669</v>
      </c>
      <c r="W287" s="17">
        <f t="shared" si="30"/>
        <v>1.4740635843038101</v>
      </c>
      <c r="X287" s="17">
        <f t="shared" si="31"/>
        <v>1.0942146185625847</v>
      </c>
    </row>
    <row r="288" spans="14:24" x14ac:dyDescent="0.3">
      <c r="N288" s="10"/>
      <c r="O288" s="10"/>
      <c r="P288" s="10"/>
      <c r="Q288" s="11"/>
      <c r="R288" s="15">
        <f t="shared" si="32"/>
        <v>234891</v>
      </c>
      <c r="S288" s="15">
        <f t="shared" si="34"/>
        <v>233476</v>
      </c>
      <c r="T288" s="15">
        <f t="shared" si="33"/>
        <v>149708</v>
      </c>
      <c r="U288" s="16">
        <f t="shared" si="35"/>
        <v>-192144.5611772144</v>
      </c>
      <c r="V288" s="16">
        <f t="shared" si="36"/>
        <v>-133804.25747683094</v>
      </c>
      <c r="W288" s="17">
        <f t="shared" si="30"/>
        <v>-1.5651730020798069</v>
      </c>
      <c r="X288" s="17">
        <f t="shared" si="31"/>
        <v>-1.0258700877830784</v>
      </c>
    </row>
    <row r="289" spans="14:24" x14ac:dyDescent="0.3">
      <c r="N289" s="10"/>
      <c r="O289" s="10"/>
      <c r="P289" s="10"/>
      <c r="Q289" s="11"/>
      <c r="R289" s="15">
        <f t="shared" si="32"/>
        <v>235721</v>
      </c>
      <c r="S289" s="15">
        <f t="shared" si="34"/>
        <v>234301</v>
      </c>
      <c r="T289" s="15">
        <f t="shared" si="33"/>
        <v>150237</v>
      </c>
      <c r="U289" s="16">
        <f t="shared" si="35"/>
        <v>202522.49723609511</v>
      </c>
      <c r="V289" s="16">
        <f t="shared" si="36"/>
        <v>119814.68368791694</v>
      </c>
      <c r="W289" s="17">
        <f t="shared" si="30"/>
        <v>1.645285483418401</v>
      </c>
      <c r="X289" s="17">
        <f t="shared" si="31"/>
        <v>0.91411390177240304</v>
      </c>
    </row>
    <row r="290" spans="14:24" x14ac:dyDescent="0.3">
      <c r="N290" s="10"/>
      <c r="O290" s="10"/>
      <c r="P290" s="10"/>
      <c r="Q290" s="11"/>
      <c r="R290" s="15">
        <f t="shared" si="32"/>
        <v>236551</v>
      </c>
      <c r="S290" s="15">
        <f t="shared" si="34"/>
        <v>235126</v>
      </c>
      <c r="T290" s="15">
        <f t="shared" si="33"/>
        <v>150766</v>
      </c>
      <c r="U290" s="16">
        <f t="shared" si="35"/>
        <v>-208394.40725344879</v>
      </c>
      <c r="V290" s="16">
        <f t="shared" si="36"/>
        <v>-106151.85289203923</v>
      </c>
      <c r="W290" s="17">
        <f t="shared" si="30"/>
        <v>-1.6973589930597097</v>
      </c>
      <c r="X290" s="17">
        <f t="shared" si="31"/>
        <v>-0.81435109822795992</v>
      </c>
    </row>
    <row r="291" spans="14:24" x14ac:dyDescent="0.3">
      <c r="N291" s="10"/>
      <c r="O291" s="10"/>
      <c r="P291" s="10"/>
      <c r="Q291" s="11"/>
      <c r="R291" s="15">
        <f t="shared" si="32"/>
        <v>237381</v>
      </c>
      <c r="S291" s="15">
        <f t="shared" si="34"/>
        <v>235951</v>
      </c>
      <c r="T291" s="15">
        <f t="shared" si="33"/>
        <v>151295</v>
      </c>
      <c r="U291" s="16">
        <f t="shared" si="35"/>
        <v>215618.72823508526</v>
      </c>
      <c r="V291" s="16">
        <f t="shared" si="36"/>
        <v>95126.183259938523</v>
      </c>
      <c r="W291" s="17">
        <f t="shared" si="30"/>
        <v>1.7518180785323354</v>
      </c>
      <c r="X291" s="17">
        <f t="shared" si="31"/>
        <v>0.72526643108881728</v>
      </c>
    </row>
    <row r="292" spans="14:24" x14ac:dyDescent="0.3">
      <c r="N292" s="10"/>
      <c r="O292" s="10"/>
      <c r="P292" s="10"/>
      <c r="Q292" s="11"/>
      <c r="R292" s="15">
        <f t="shared" si="32"/>
        <v>238211</v>
      </c>
      <c r="S292" s="15">
        <f t="shared" si="34"/>
        <v>236776</v>
      </c>
      <c r="T292" s="15">
        <f t="shared" si="33"/>
        <v>151824</v>
      </c>
      <c r="U292" s="16">
        <f t="shared" si="35"/>
        <v>-224207.48393515413</v>
      </c>
      <c r="V292" s="16">
        <f t="shared" si="36"/>
        <v>-80452.049951392997</v>
      </c>
      <c r="W292" s="17">
        <f t="shared" si="30"/>
        <v>-1.8259920399086551</v>
      </c>
      <c r="X292" s="17">
        <f t="shared" si="31"/>
        <v>-0.61776796445011672</v>
      </c>
    </row>
    <row r="293" spans="14:24" x14ac:dyDescent="0.3">
      <c r="N293" s="10"/>
      <c r="O293" s="10"/>
      <c r="P293" s="10"/>
      <c r="Q293" s="11"/>
      <c r="R293" s="15">
        <f t="shared" si="32"/>
        <v>239041</v>
      </c>
      <c r="S293" s="15">
        <f t="shared" si="34"/>
        <v>237601</v>
      </c>
      <c r="T293" s="15">
        <f t="shared" si="33"/>
        <v>152353</v>
      </c>
      <c r="U293" s="16">
        <f t="shared" si="35"/>
        <v>228154.44487481847</v>
      </c>
      <c r="V293" s="16">
        <f t="shared" si="36"/>
        <v>64370.083865396307</v>
      </c>
      <c r="W293" s="17">
        <f t="shared" si="30"/>
        <v>1.8537911137778718</v>
      </c>
      <c r="X293" s="17">
        <f t="shared" si="31"/>
        <v>0.49000663490573021</v>
      </c>
    </row>
    <row r="294" spans="14:24" x14ac:dyDescent="0.3">
      <c r="N294" s="10"/>
      <c r="O294" s="10"/>
      <c r="P294" s="10"/>
      <c r="Q294" s="11"/>
      <c r="R294" s="15">
        <f t="shared" si="32"/>
        <v>239871</v>
      </c>
      <c r="S294" s="15">
        <f t="shared" si="34"/>
        <v>238426</v>
      </c>
      <c r="T294" s="15">
        <f t="shared" si="33"/>
        <v>152882</v>
      </c>
      <c r="U294" s="16">
        <f t="shared" si="35"/>
        <v>-231586.62938001394</v>
      </c>
      <c r="V294" s="16">
        <f t="shared" si="36"/>
        <v>-51781.666895936978</v>
      </c>
      <c r="W294" s="17">
        <f t="shared" si="30"/>
        <v>-1.8860184333057097</v>
      </c>
      <c r="X294" s="17">
        <f t="shared" si="31"/>
        <v>-0.39846224601058866</v>
      </c>
    </row>
    <row r="295" spans="14:24" x14ac:dyDescent="0.3">
      <c r="N295" s="10"/>
      <c r="O295" s="10"/>
      <c r="P295" s="10"/>
      <c r="Q295" s="11"/>
      <c r="R295" s="15">
        <f t="shared" si="32"/>
        <v>240701</v>
      </c>
      <c r="S295" s="15">
        <f t="shared" si="34"/>
        <v>239251</v>
      </c>
      <c r="T295" s="15">
        <f t="shared" si="33"/>
        <v>153411</v>
      </c>
      <c r="U295" s="16">
        <f t="shared" si="35"/>
        <v>237567.61908872565</v>
      </c>
      <c r="V295" s="16">
        <f t="shared" si="36"/>
        <v>37135.238208674971</v>
      </c>
      <c r="W295" s="17">
        <f t="shared" si="30"/>
        <v>1.9303635167344497</v>
      </c>
      <c r="X295" s="17">
        <f t="shared" si="31"/>
        <v>0.28168164037098475</v>
      </c>
    </row>
    <row r="296" spans="14:24" x14ac:dyDescent="0.3">
      <c r="N296" s="10"/>
      <c r="O296" s="10"/>
      <c r="P296" s="10"/>
      <c r="Q296" s="11"/>
      <c r="R296" s="15">
        <f t="shared" si="32"/>
        <v>241531</v>
      </c>
      <c r="S296" s="15">
        <f t="shared" si="34"/>
        <v>240076</v>
      </c>
      <c r="T296" s="15">
        <f t="shared" si="33"/>
        <v>153940</v>
      </c>
      <c r="U296" s="16">
        <f t="shared" si="35"/>
        <v>-239715.7435082109</v>
      </c>
      <c r="V296" s="16">
        <f t="shared" si="36"/>
        <v>-19563.653035837313</v>
      </c>
      <c r="W296" s="17">
        <f t="shared" si="30"/>
        <v>-1.9521455216352412</v>
      </c>
      <c r="X296" s="17">
        <f t="shared" si="31"/>
        <v>-0.15201996225675382</v>
      </c>
    </row>
    <row r="297" spans="14:24" x14ac:dyDescent="0.3">
      <c r="N297" s="10"/>
      <c r="O297" s="10"/>
      <c r="P297" s="10"/>
      <c r="Q297" s="11"/>
      <c r="R297" s="15">
        <f t="shared" si="32"/>
        <v>242361</v>
      </c>
      <c r="S297" s="15">
        <f t="shared" si="34"/>
        <v>240901</v>
      </c>
      <c r="T297" s="15">
        <f t="shared" si="33"/>
        <v>154469</v>
      </c>
      <c r="U297" s="16">
        <f t="shared" si="35"/>
        <v>239379.41360213148</v>
      </c>
      <c r="V297" s="16">
        <f t="shared" si="36"/>
        <v>5432.473250961023</v>
      </c>
      <c r="W297" s="17">
        <f t="shared" si="30"/>
        <v>1.9451017396125583</v>
      </c>
      <c r="X297" s="17">
        <f t="shared" si="31"/>
        <v>3.9180602553568401E-2</v>
      </c>
    </row>
    <row r="298" spans="14:24" x14ac:dyDescent="0.3">
      <c r="N298" s="10"/>
      <c r="O298" s="10"/>
      <c r="P298" s="10"/>
      <c r="Q298" s="11"/>
      <c r="R298" s="15">
        <f t="shared" si="32"/>
        <v>243191</v>
      </c>
      <c r="S298" s="15">
        <f t="shared" si="34"/>
        <v>241726</v>
      </c>
      <c r="T298" s="15">
        <f t="shared" si="33"/>
        <v>154998</v>
      </c>
      <c r="U298" s="16">
        <f t="shared" si="35"/>
        <v>-241986.89569221571</v>
      </c>
      <c r="V298" s="16">
        <f t="shared" si="36"/>
        <v>8696.8515959463493</v>
      </c>
      <c r="W298" s="17">
        <f t="shared" si="30"/>
        <v>-1.9706204352252175</v>
      </c>
      <c r="X298" s="17">
        <f t="shared" si="31"/>
        <v>6.4150510936749505E-2</v>
      </c>
    </row>
    <row r="299" spans="14:24" x14ac:dyDescent="0.3">
      <c r="N299" s="10"/>
      <c r="O299" s="10"/>
      <c r="P299" s="10"/>
      <c r="Q299" s="11"/>
      <c r="R299" s="15">
        <f t="shared" si="32"/>
        <v>244021</v>
      </c>
      <c r="S299" s="15">
        <f t="shared" si="34"/>
        <v>242551</v>
      </c>
      <c r="T299" s="15">
        <f t="shared" si="33"/>
        <v>155527</v>
      </c>
      <c r="U299" s="16">
        <f t="shared" si="35"/>
        <v>242322.12534826266</v>
      </c>
      <c r="V299" s="16">
        <f t="shared" si="36"/>
        <v>-26640.758974300763</v>
      </c>
      <c r="W299" s="17">
        <f t="shared" si="30"/>
        <v>1.9690395213309615</v>
      </c>
      <c r="X299" s="17">
        <f t="shared" si="31"/>
        <v>-0.20615421638601703</v>
      </c>
    </row>
    <row r="300" spans="14:24" x14ac:dyDescent="0.3">
      <c r="N300" s="10"/>
      <c r="O300" s="10"/>
      <c r="P300" s="10"/>
      <c r="Q300" s="11"/>
      <c r="R300" s="15">
        <f t="shared" si="32"/>
        <v>244851</v>
      </c>
      <c r="S300" s="15">
        <f t="shared" si="34"/>
        <v>243376</v>
      </c>
      <c r="T300" s="15">
        <f t="shared" si="33"/>
        <v>156056</v>
      </c>
      <c r="U300" s="16">
        <f t="shared" si="35"/>
        <v>-238565.04021114702</v>
      </c>
      <c r="V300" s="16">
        <f t="shared" si="36"/>
        <v>42075.546752669281</v>
      </c>
      <c r="W300" s="17">
        <f t="shared" si="30"/>
        <v>-1.9427850110843943</v>
      </c>
      <c r="X300" s="17">
        <f t="shared" si="31"/>
        <v>0.31947108714809819</v>
      </c>
    </row>
    <row r="301" spans="14:24" x14ac:dyDescent="0.3">
      <c r="N301" s="10"/>
      <c r="O301" s="10"/>
      <c r="P301" s="10"/>
      <c r="Q301" s="11"/>
      <c r="R301" s="15">
        <f t="shared" si="32"/>
        <v>245681</v>
      </c>
      <c r="S301" s="15">
        <f t="shared" si="34"/>
        <v>244201</v>
      </c>
      <c r="T301" s="15">
        <f t="shared" si="33"/>
        <v>156585</v>
      </c>
      <c r="U301" s="16">
        <f t="shared" si="35"/>
        <v>237233.72956522289</v>
      </c>
      <c r="V301" s="16">
        <f t="shared" si="36"/>
        <v>-55432.827410512647</v>
      </c>
      <c r="W301" s="17">
        <f t="shared" si="30"/>
        <v>1.9276474591585833</v>
      </c>
      <c r="X301" s="17">
        <f t="shared" si="31"/>
        <v>-0.42639073159232127</v>
      </c>
    </row>
    <row r="302" spans="14:24" x14ac:dyDescent="0.3">
      <c r="N302" s="10"/>
      <c r="O302" s="10"/>
      <c r="P302" s="10"/>
      <c r="Q302" s="11"/>
      <c r="R302" s="15">
        <f t="shared" si="32"/>
        <v>246511</v>
      </c>
      <c r="S302" s="15">
        <f t="shared" si="34"/>
        <v>245026</v>
      </c>
      <c r="T302" s="15">
        <f t="shared" si="33"/>
        <v>157114</v>
      </c>
      <c r="U302" s="16">
        <f t="shared" si="35"/>
        <v>-235569.41368506078</v>
      </c>
      <c r="V302" s="16">
        <f t="shared" si="36"/>
        <v>72597.340235619587</v>
      </c>
      <c r="W302" s="17">
        <f t="shared" si="30"/>
        <v>-1.9184167888194759</v>
      </c>
      <c r="X302" s="17">
        <f t="shared" si="31"/>
        <v>0.55293862871858035</v>
      </c>
    </row>
    <row r="303" spans="14:24" x14ac:dyDescent="0.3">
      <c r="N303" s="10"/>
      <c r="O303" s="10"/>
      <c r="P303" s="10"/>
      <c r="Q303" s="11"/>
      <c r="R303" s="15">
        <f t="shared" si="32"/>
        <v>247341</v>
      </c>
      <c r="S303" s="15">
        <f t="shared" si="34"/>
        <v>245851</v>
      </c>
      <c r="T303" s="15">
        <f t="shared" si="33"/>
        <v>157643</v>
      </c>
      <c r="U303" s="16">
        <f t="shared" si="35"/>
        <v>228959.94186245298</v>
      </c>
      <c r="V303" s="16">
        <f t="shared" si="36"/>
        <v>-88813.732100796668</v>
      </c>
      <c r="W303" s="17">
        <f t="shared" si="30"/>
        <v>1.8603435092308671</v>
      </c>
      <c r="X303" s="17">
        <f t="shared" si="31"/>
        <v>-0.68172820898507702</v>
      </c>
    </row>
    <row r="304" spans="14:24" x14ac:dyDescent="0.3">
      <c r="N304" s="10"/>
      <c r="O304" s="10"/>
      <c r="P304" s="10"/>
      <c r="Q304" s="11"/>
      <c r="R304" s="15">
        <f t="shared" si="32"/>
        <v>248171</v>
      </c>
      <c r="S304" s="15">
        <f t="shared" si="34"/>
        <v>246676</v>
      </c>
      <c r="T304" s="15">
        <f t="shared" si="33"/>
        <v>158172</v>
      </c>
      <c r="U304" s="16">
        <f t="shared" si="35"/>
        <v>-223449.12971415176</v>
      </c>
      <c r="V304" s="16">
        <f t="shared" si="36"/>
        <v>101326.24882963824</v>
      </c>
      <c r="W304" s="17">
        <f t="shared" si="30"/>
        <v>-1.8198231319850535</v>
      </c>
      <c r="X304" s="17">
        <f t="shared" si="31"/>
        <v>0.77269202116569702</v>
      </c>
    </row>
    <row r="305" spans="14:24" x14ac:dyDescent="0.3">
      <c r="N305" s="10"/>
      <c r="O305" s="10"/>
      <c r="P305" s="10"/>
      <c r="Q305" s="11"/>
      <c r="R305" s="15">
        <f t="shared" si="32"/>
        <v>249001</v>
      </c>
      <c r="S305" s="15">
        <f t="shared" si="34"/>
        <v>247501</v>
      </c>
      <c r="T305" s="15">
        <f t="shared" si="33"/>
        <v>158701</v>
      </c>
      <c r="U305" s="16">
        <f t="shared" si="35"/>
        <v>219457.87979695172</v>
      </c>
      <c r="V305" s="16">
        <f t="shared" si="36"/>
        <v>-116684.7501966069</v>
      </c>
      <c r="W305" s="17">
        <f t="shared" si="30"/>
        <v>1.7830480391945203</v>
      </c>
      <c r="X305" s="17">
        <f t="shared" si="31"/>
        <v>-0.89491941871952718</v>
      </c>
    </row>
    <row r="306" spans="14:24" x14ac:dyDescent="0.3">
      <c r="N306" s="10"/>
      <c r="O306" s="10"/>
      <c r="P306" s="10"/>
      <c r="Q306" s="11"/>
      <c r="R306" s="15">
        <f t="shared" si="32"/>
        <v>249831</v>
      </c>
      <c r="S306" s="15">
        <f t="shared" si="34"/>
        <v>248326</v>
      </c>
      <c r="T306" s="15">
        <f t="shared" si="33"/>
        <v>159230</v>
      </c>
      <c r="U306" s="16">
        <f t="shared" si="35"/>
        <v>-210648.72734538236</v>
      </c>
      <c r="V306" s="16">
        <f t="shared" si="36"/>
        <v>132877.99130534689</v>
      </c>
      <c r="W306" s="17">
        <f t="shared" si="30"/>
        <v>-1.7156969843206828</v>
      </c>
      <c r="X306" s="17">
        <f t="shared" si="31"/>
        <v>1.0140378566318706</v>
      </c>
    </row>
    <row r="307" spans="14:24" x14ac:dyDescent="0.3">
      <c r="N307" s="10"/>
      <c r="O307" s="10"/>
      <c r="P307" s="10"/>
      <c r="Q307" s="11"/>
      <c r="R307" s="15">
        <f t="shared" si="32"/>
        <v>250661</v>
      </c>
      <c r="S307" s="15">
        <f t="shared" si="34"/>
        <v>249151</v>
      </c>
      <c r="T307" s="15">
        <f t="shared" si="33"/>
        <v>159759</v>
      </c>
      <c r="U307" s="16">
        <f t="shared" si="35"/>
        <v>201113.25629295883</v>
      </c>
      <c r="V307" s="16">
        <f t="shared" si="36"/>
        <v>-144555.06774594827</v>
      </c>
      <c r="W307" s="17">
        <f t="shared" si="30"/>
        <v>1.6338218726417819</v>
      </c>
      <c r="X307" s="17">
        <f t="shared" si="31"/>
        <v>-1.1081052698284455</v>
      </c>
    </row>
    <row r="308" spans="14:24" x14ac:dyDescent="0.3">
      <c r="N308" s="10"/>
      <c r="O308" s="10"/>
      <c r="P308" s="10"/>
      <c r="Q308" s="11"/>
      <c r="R308" s="15">
        <f t="shared" si="32"/>
        <v>251491</v>
      </c>
      <c r="S308" s="15">
        <f t="shared" si="34"/>
        <v>249976</v>
      </c>
      <c r="T308" s="15">
        <f t="shared" si="33"/>
        <v>160288</v>
      </c>
      <c r="U308" s="16">
        <f t="shared" si="35"/>
        <v>-194417.46482450367</v>
      </c>
      <c r="V308" s="16">
        <f t="shared" si="36"/>
        <v>157337.42570520384</v>
      </c>
      <c r="W308" s="17">
        <f t="shared" si="30"/>
        <v>-1.583662163122272</v>
      </c>
      <c r="X308" s="17">
        <f t="shared" si="31"/>
        <v>1.2011331536605003</v>
      </c>
    </row>
    <row r="309" spans="14:24" x14ac:dyDescent="0.3">
      <c r="N309" s="10"/>
      <c r="O309" s="10"/>
      <c r="P309" s="10"/>
      <c r="Q309" s="11"/>
      <c r="R309" s="15">
        <f t="shared" si="32"/>
        <v>252321</v>
      </c>
      <c r="S309" s="15">
        <f t="shared" si="34"/>
        <v>250801</v>
      </c>
      <c r="T309" s="15">
        <f t="shared" si="33"/>
        <v>160817</v>
      </c>
      <c r="U309" s="16">
        <f t="shared" si="35"/>
        <v>184009.81371966025</v>
      </c>
      <c r="V309" s="16">
        <f t="shared" si="36"/>
        <v>-172489.75321819095</v>
      </c>
      <c r="W309" s="17">
        <f t="shared" si="30"/>
        <v>1.4946922159599361</v>
      </c>
      <c r="X309" s="17">
        <f t="shared" si="31"/>
        <v>-1.3217834845569576</v>
      </c>
    </row>
    <row r="310" spans="14:24" x14ac:dyDescent="0.3">
      <c r="N310" s="10"/>
      <c r="O310" s="10"/>
      <c r="P310" s="10"/>
      <c r="Q310" s="11"/>
      <c r="R310" s="15">
        <f t="shared" si="32"/>
        <v>253151</v>
      </c>
      <c r="S310" s="15">
        <f t="shared" si="34"/>
        <v>251626</v>
      </c>
      <c r="T310" s="15">
        <f t="shared" si="33"/>
        <v>161346</v>
      </c>
      <c r="U310" s="16">
        <f t="shared" si="35"/>
        <v>-170999.75120259426</v>
      </c>
      <c r="V310" s="16">
        <f t="shared" si="36"/>
        <v>183302.75133436001</v>
      </c>
      <c r="W310" s="17">
        <f t="shared" si="30"/>
        <v>-1.3931684398541568</v>
      </c>
      <c r="X310" s="17">
        <f t="shared" si="31"/>
        <v>1.3997473256652495</v>
      </c>
    </row>
    <row r="311" spans="14:24" x14ac:dyDescent="0.3">
      <c r="N311" s="10"/>
      <c r="O311" s="10"/>
      <c r="P311" s="10"/>
      <c r="Q311" s="11"/>
      <c r="R311" s="15">
        <f t="shared" si="32"/>
        <v>253981</v>
      </c>
      <c r="S311" s="15">
        <f t="shared" si="34"/>
        <v>252451</v>
      </c>
      <c r="T311" s="15">
        <f t="shared" si="33"/>
        <v>161875</v>
      </c>
      <c r="U311" s="16">
        <f t="shared" si="35"/>
        <v>161299.81647378966</v>
      </c>
      <c r="V311" s="16">
        <f t="shared" si="36"/>
        <v>-193070.57617041416</v>
      </c>
      <c r="W311" s="17">
        <f t="shared" si="30"/>
        <v>1.3099554820233208</v>
      </c>
      <c r="X311" s="17">
        <f t="shared" si="31"/>
        <v>-1.4792104765466971</v>
      </c>
    </row>
    <row r="312" spans="14:24" x14ac:dyDescent="0.3">
      <c r="N312" s="10"/>
      <c r="O312" s="10"/>
      <c r="P312" s="10"/>
      <c r="Q312" s="11"/>
      <c r="R312" s="15">
        <f t="shared" si="32"/>
        <v>254811</v>
      </c>
      <c r="S312" s="15">
        <f t="shared" si="34"/>
        <v>253276</v>
      </c>
      <c r="T312" s="15">
        <f t="shared" si="33"/>
        <v>162404</v>
      </c>
      <c r="U312" s="16">
        <f t="shared" si="35"/>
        <v>-149740.69121477089</v>
      </c>
      <c r="V312" s="16">
        <f t="shared" si="36"/>
        <v>206079.64307562675</v>
      </c>
      <c r="W312" s="17">
        <f t="shared" si="30"/>
        <v>-1.2202344995196999</v>
      </c>
      <c r="X312" s="17">
        <f t="shared" si="31"/>
        <v>1.5739725042223696</v>
      </c>
    </row>
    <row r="313" spans="14:24" x14ac:dyDescent="0.3">
      <c r="N313" s="10"/>
      <c r="O313" s="10"/>
      <c r="P313" s="10"/>
      <c r="Q313" s="11"/>
      <c r="R313" s="15">
        <f t="shared" si="32"/>
        <v>255641</v>
      </c>
      <c r="S313" s="15">
        <f t="shared" si="34"/>
        <v>254101</v>
      </c>
      <c r="T313" s="15">
        <f t="shared" si="33"/>
        <v>162933</v>
      </c>
      <c r="U313" s="16">
        <f t="shared" si="35"/>
        <v>134127.68456995933</v>
      </c>
      <c r="V313" s="16">
        <f t="shared" si="36"/>
        <v>-215855.65690576404</v>
      </c>
      <c r="W313" s="17">
        <f t="shared" si="30"/>
        <v>1.0889210693960245</v>
      </c>
      <c r="X313" s="17">
        <f t="shared" si="31"/>
        <v>-1.6534982944214445</v>
      </c>
    </row>
    <row r="314" spans="14:24" x14ac:dyDescent="0.3">
      <c r="N314" s="10"/>
      <c r="O314" s="10"/>
      <c r="P314" s="10"/>
      <c r="Q314" s="11"/>
      <c r="R314" s="15">
        <f t="shared" si="32"/>
        <v>256471</v>
      </c>
      <c r="S314" s="15">
        <f t="shared" si="34"/>
        <v>254926</v>
      </c>
      <c r="T314" s="15">
        <f t="shared" si="33"/>
        <v>163462</v>
      </c>
      <c r="U314" s="16">
        <f t="shared" si="35"/>
        <v>-121336.43843308779</v>
      </c>
      <c r="V314" s="16">
        <f t="shared" si="36"/>
        <v>222506.53006828553</v>
      </c>
      <c r="W314" s="17">
        <f t="shared" si="30"/>
        <v>-0.98917727692350232</v>
      </c>
      <c r="X314" s="17">
        <f t="shared" si="31"/>
        <v>1.6996251767618951</v>
      </c>
    </row>
    <row r="315" spans="14:24" x14ac:dyDescent="0.3">
      <c r="N315" s="10"/>
      <c r="O315" s="10"/>
      <c r="P315" s="10"/>
      <c r="Q315" s="11"/>
      <c r="R315" s="15">
        <f t="shared" si="32"/>
        <v>257301</v>
      </c>
      <c r="S315" s="15">
        <f t="shared" si="34"/>
        <v>255751</v>
      </c>
      <c r="T315" s="15">
        <f t="shared" si="33"/>
        <v>163991</v>
      </c>
      <c r="U315" s="16">
        <f t="shared" si="35"/>
        <v>108873.74957566865</v>
      </c>
      <c r="V315" s="16">
        <f t="shared" si="36"/>
        <v>-232346.87763262671</v>
      </c>
      <c r="W315" s="17">
        <f t="shared" si="30"/>
        <v>0.88349042053316906</v>
      </c>
      <c r="X315" s="17">
        <f t="shared" si="31"/>
        <v>-1.7796430690641121</v>
      </c>
    </row>
    <row r="316" spans="14:24" x14ac:dyDescent="0.3">
      <c r="N316" s="10"/>
      <c r="O316" s="10"/>
      <c r="P316" s="10"/>
      <c r="Q316" s="11"/>
      <c r="R316" s="15">
        <f t="shared" si="32"/>
        <v>258131</v>
      </c>
      <c r="S316" s="15">
        <f t="shared" si="34"/>
        <v>256576</v>
      </c>
      <c r="T316" s="15">
        <f t="shared" si="33"/>
        <v>164520</v>
      </c>
      <c r="U316" s="16">
        <f t="shared" si="35"/>
        <v>-91719.009498688596</v>
      </c>
      <c r="V316" s="16">
        <f t="shared" si="36"/>
        <v>240706.80120256115</v>
      </c>
      <c r="W316" s="17">
        <f t="shared" si="30"/>
        <v>-0.74825135211144189</v>
      </c>
      <c r="X316" s="17">
        <f t="shared" si="31"/>
        <v>1.8388428331558142</v>
      </c>
    </row>
    <row r="317" spans="14:24" x14ac:dyDescent="0.3">
      <c r="N317" s="10"/>
      <c r="O317" s="10"/>
      <c r="P317" s="10"/>
      <c r="Q317" s="11"/>
      <c r="R317" s="15">
        <f t="shared" si="32"/>
        <v>258961</v>
      </c>
      <c r="S317" s="15">
        <f t="shared" si="34"/>
        <v>257401</v>
      </c>
      <c r="T317" s="15">
        <f t="shared" si="33"/>
        <v>165049</v>
      </c>
      <c r="U317" s="16">
        <f t="shared" si="35"/>
        <v>76067.809602933732</v>
      </c>
      <c r="V317" s="16">
        <f t="shared" si="36"/>
        <v>-244409.39167702143</v>
      </c>
      <c r="W317" s="17">
        <f t="shared" si="30"/>
        <v>0.6166272351848886</v>
      </c>
      <c r="X317" s="17">
        <f t="shared" si="31"/>
        <v>-1.8719117458926018</v>
      </c>
    </row>
    <row r="318" spans="14:24" x14ac:dyDescent="0.3">
      <c r="N318" s="10"/>
      <c r="O318" s="10"/>
      <c r="P318" s="10"/>
      <c r="Q318" s="11"/>
      <c r="R318" s="15">
        <f t="shared" si="32"/>
        <v>259791</v>
      </c>
      <c r="S318" s="15">
        <f t="shared" si="34"/>
        <v>258226</v>
      </c>
      <c r="T318" s="15">
        <f t="shared" si="33"/>
        <v>165578</v>
      </c>
      <c r="U318" s="16">
        <f t="shared" si="35"/>
        <v>-62773.044089207382</v>
      </c>
      <c r="V318" s="16">
        <f t="shared" si="36"/>
        <v>250292.46556303548</v>
      </c>
      <c r="W318" s="17">
        <f t="shared" si="30"/>
        <v>-0.51278751420357382</v>
      </c>
      <c r="X318" s="17">
        <f t="shared" si="31"/>
        <v>1.9121655719984665</v>
      </c>
    </row>
    <row r="319" spans="14:24" x14ac:dyDescent="0.3">
      <c r="N319" s="10"/>
      <c r="O319" s="10"/>
      <c r="P319" s="10"/>
      <c r="Q319" s="11"/>
      <c r="R319" s="15">
        <f t="shared" si="32"/>
        <v>260621</v>
      </c>
      <c r="S319" s="15">
        <f t="shared" si="34"/>
        <v>259051</v>
      </c>
      <c r="T319" s="15">
        <f t="shared" si="33"/>
        <v>166107</v>
      </c>
      <c r="U319" s="16">
        <f t="shared" si="35"/>
        <v>45165.593098997451</v>
      </c>
      <c r="V319" s="16">
        <f t="shared" si="36"/>
        <v>-256653.53003138863</v>
      </c>
      <c r="W319" s="17">
        <f t="shared" si="30"/>
        <v>0.36525007795615322</v>
      </c>
      <c r="X319" s="17">
        <f t="shared" si="31"/>
        <v>-1.9655697048143079</v>
      </c>
    </row>
    <row r="320" spans="14:24" x14ac:dyDescent="0.3">
      <c r="N320" s="10"/>
      <c r="O320" s="10"/>
      <c r="P320" s="10"/>
      <c r="Q320" s="11"/>
      <c r="R320" s="15">
        <f t="shared" si="32"/>
        <v>261451</v>
      </c>
      <c r="S320" s="15">
        <f t="shared" si="34"/>
        <v>259876</v>
      </c>
      <c r="T320" s="15">
        <f t="shared" si="33"/>
        <v>166636</v>
      </c>
      <c r="U320" s="16">
        <f t="shared" si="35"/>
        <v>-27252.941777380856</v>
      </c>
      <c r="V320" s="16">
        <f t="shared" si="36"/>
        <v>257732.02014168256</v>
      </c>
      <c r="W320" s="17">
        <f t="shared" si="30"/>
        <v>-0.22384570504618129</v>
      </c>
      <c r="X320" s="17">
        <f t="shared" si="31"/>
        <v>1.9690722711027113</v>
      </c>
    </row>
    <row r="321" spans="14:24" x14ac:dyDescent="0.3">
      <c r="N321" s="10"/>
      <c r="O321" s="10"/>
      <c r="P321" s="10"/>
      <c r="Q321" s="11"/>
      <c r="R321" s="15">
        <f t="shared" si="32"/>
        <v>262281</v>
      </c>
      <c r="S321" s="15">
        <f t="shared" si="34"/>
        <v>260701</v>
      </c>
      <c r="T321" s="15">
        <f t="shared" si="33"/>
        <v>167165</v>
      </c>
      <c r="U321" s="16">
        <f t="shared" si="35"/>
        <v>13104.336747847306</v>
      </c>
      <c r="V321" s="16">
        <f t="shared" si="36"/>
        <v>-259229.43994526629</v>
      </c>
      <c r="W321" s="17">
        <f t="shared" si="30"/>
        <v>0.10444459567926677</v>
      </c>
      <c r="X321" s="17">
        <f t="shared" si="31"/>
        <v>-1.9852733750863707</v>
      </c>
    </row>
    <row r="322" spans="14:24" x14ac:dyDescent="0.3">
      <c r="N322" s="10"/>
      <c r="O322" s="10"/>
      <c r="P322" s="10"/>
      <c r="Q322" s="11"/>
      <c r="R322" s="15">
        <f t="shared" si="32"/>
        <v>263111</v>
      </c>
      <c r="S322" s="15">
        <f t="shared" si="34"/>
        <v>261526</v>
      </c>
      <c r="T322" s="15">
        <f t="shared" si="33"/>
        <v>167694</v>
      </c>
      <c r="U322" s="16">
        <f t="shared" si="35"/>
        <v>3994.8017340314277</v>
      </c>
      <c r="V322" s="16">
        <f t="shared" si="36"/>
        <v>262876.45145382086</v>
      </c>
      <c r="W322" s="17">
        <f t="shared" si="30"/>
        <v>3.0342176030599296E-2</v>
      </c>
      <c r="X322" s="17">
        <f t="shared" si="31"/>
        <v>2.0084230953553579</v>
      </c>
    </row>
    <row r="323" spans="14:24" x14ac:dyDescent="0.3">
      <c r="N323" s="10"/>
      <c r="O323" s="10"/>
      <c r="P323" s="10"/>
      <c r="Q323" s="11"/>
      <c r="R323" s="15">
        <f t="shared" si="32"/>
        <v>263941</v>
      </c>
      <c r="S323" s="15">
        <f t="shared" si="34"/>
        <v>262351</v>
      </c>
      <c r="T323" s="15">
        <f t="shared" si="33"/>
        <v>168223</v>
      </c>
      <c r="U323" s="16">
        <f t="shared" si="35"/>
        <v>-23228.535852020719</v>
      </c>
      <c r="V323" s="16">
        <f t="shared" si="36"/>
        <v>-261674.86136253024</v>
      </c>
      <c r="W323" s="17">
        <f t="shared" si="30"/>
        <v>-0.19110877431751824</v>
      </c>
      <c r="X323" s="17">
        <f t="shared" si="31"/>
        <v>-2.0039789117289453</v>
      </c>
    </row>
    <row r="324" spans="14:24" x14ac:dyDescent="0.3">
      <c r="N324" s="10"/>
      <c r="O324" s="10"/>
      <c r="P324" s="10"/>
      <c r="Q324" s="11"/>
      <c r="R324" s="15">
        <f t="shared" si="32"/>
        <v>264771</v>
      </c>
      <c r="S324" s="15">
        <f t="shared" si="34"/>
        <v>263176</v>
      </c>
      <c r="T324" s="15">
        <f t="shared" si="33"/>
        <v>168752</v>
      </c>
      <c r="U324" s="16">
        <f t="shared" si="35"/>
        <v>38225.116381463144</v>
      </c>
      <c r="V324" s="16">
        <f t="shared" si="36"/>
        <v>258777.3196695768</v>
      </c>
      <c r="W324" s="17">
        <f t="shared" si="30"/>
        <v>0.30879207900181399</v>
      </c>
      <c r="X324" s="17">
        <f t="shared" si="31"/>
        <v>1.9770679844318961</v>
      </c>
    </row>
    <row r="325" spans="14:24" x14ac:dyDescent="0.3">
      <c r="N325" s="10"/>
      <c r="O325" s="10"/>
      <c r="P325" s="10"/>
      <c r="Q325" s="11"/>
      <c r="R325" s="15">
        <f t="shared" si="32"/>
        <v>265601</v>
      </c>
      <c r="S325" s="15">
        <f t="shared" si="34"/>
        <v>264001</v>
      </c>
      <c r="T325" s="15">
        <f t="shared" si="33"/>
        <v>169281</v>
      </c>
      <c r="U325" s="16">
        <f t="shared" si="35"/>
        <v>-54098.543320464036</v>
      </c>
      <c r="V325" s="16">
        <f t="shared" si="36"/>
        <v>-258989.47599542711</v>
      </c>
      <c r="W325" s="17">
        <f t="shared" ref="W325:W381" si="37">(U325-$W$1)/$W$2</f>
        <v>-0.44222392393983262</v>
      </c>
      <c r="X325" s="17">
        <f t="shared" ref="X325:X381" si="38">(V325-$X$1)/$X$2</f>
        <v>-1.9834378409633255</v>
      </c>
    </row>
    <row r="326" spans="14:24" x14ac:dyDescent="0.3">
      <c r="N326" s="10"/>
      <c r="O326" s="10"/>
      <c r="P326" s="10"/>
      <c r="Q326" s="11"/>
      <c r="R326" s="15">
        <f t="shared" ref="R326:R381" si="39">R325+a_inc</f>
        <v>266431</v>
      </c>
      <c r="S326" s="15">
        <f t="shared" si="34"/>
        <v>264826</v>
      </c>
      <c r="T326" s="15">
        <f t="shared" ref="T326:T381" si="40">T325+t_inc</f>
        <v>169810</v>
      </c>
      <c r="U326" s="16">
        <f t="shared" si="35"/>
        <v>73469.633651413606</v>
      </c>
      <c r="V326" s="16">
        <f t="shared" si="36"/>
        <v>255751.26491793044</v>
      </c>
      <c r="W326" s="17">
        <f t="shared" si="37"/>
        <v>0.59549211419478087</v>
      </c>
      <c r="X326" s="17">
        <f t="shared" si="38"/>
        <v>1.9539210627439818</v>
      </c>
    </row>
    <row r="327" spans="14:24" x14ac:dyDescent="0.3">
      <c r="N327" s="10"/>
      <c r="O327" s="10"/>
      <c r="P327" s="10"/>
      <c r="Q327" s="11"/>
      <c r="R327" s="15">
        <f t="shared" si="39"/>
        <v>267261</v>
      </c>
      <c r="S327" s="15">
        <f t="shared" ref="S327:S381" si="41">S326+b_inc</f>
        <v>265651</v>
      </c>
      <c r="T327" s="15">
        <f t="shared" si="40"/>
        <v>170339</v>
      </c>
      <c r="U327" s="16">
        <f t="shared" si="35"/>
        <v>-89155.124831844339</v>
      </c>
      <c r="V327" s="16">
        <f t="shared" si="36"/>
        <v>-248849.86011963745</v>
      </c>
      <c r="W327" s="17">
        <f t="shared" si="37"/>
        <v>-0.72739517699107292</v>
      </c>
      <c r="X327" s="17">
        <f t="shared" si="38"/>
        <v>-1.9058778118545505</v>
      </c>
    </row>
    <row r="328" spans="14:24" x14ac:dyDescent="0.3">
      <c r="N328" s="10"/>
      <c r="O328" s="10"/>
      <c r="P328" s="10"/>
      <c r="Q328" s="11"/>
      <c r="R328" s="15">
        <f t="shared" si="39"/>
        <v>268091</v>
      </c>
      <c r="S328" s="15">
        <f t="shared" si="41"/>
        <v>266476</v>
      </c>
      <c r="T328" s="15">
        <f t="shared" si="40"/>
        <v>170868</v>
      </c>
      <c r="U328" s="16">
        <f t="shared" si="35"/>
        <v>103379.94483801002</v>
      </c>
      <c r="V328" s="16">
        <f t="shared" si="36"/>
        <v>245055.4168576987</v>
      </c>
      <c r="W328" s="17">
        <f t="shared" si="37"/>
        <v>0.83880051885098805</v>
      </c>
      <c r="X328" s="17">
        <f t="shared" si="38"/>
        <v>1.8721062980569514</v>
      </c>
    </row>
    <row r="329" spans="14:24" x14ac:dyDescent="0.3">
      <c r="N329" s="10"/>
      <c r="O329" s="10"/>
      <c r="P329" s="10"/>
      <c r="Q329" s="11"/>
      <c r="R329" s="15">
        <f t="shared" si="39"/>
        <v>268921</v>
      </c>
      <c r="S329" s="15">
        <f t="shared" si="41"/>
        <v>267301</v>
      </c>
      <c r="T329" s="15">
        <f t="shared" si="40"/>
        <v>171397</v>
      </c>
      <c r="U329" s="16">
        <f t="shared" ref="U329:U381" si="42">(R329-S329)*COS(T329)+S329*COS((R329/S329-1)*T329)</f>
        <v>-121614.97586287024</v>
      </c>
      <c r="V329" s="16">
        <f t="shared" ref="V329:V381" si="43">(R329-S329)*SIN(T329)-S329*SIN((R329/S329-1)*T329)</f>
        <v>-239849.86253255387</v>
      </c>
      <c r="W329" s="17">
        <f t="shared" si="37"/>
        <v>-0.99144306738133536</v>
      </c>
      <c r="X329" s="17">
        <f t="shared" si="38"/>
        <v>-1.8370349598782922</v>
      </c>
    </row>
    <row r="330" spans="14:24" x14ac:dyDescent="0.3">
      <c r="N330" s="10"/>
      <c r="O330" s="10"/>
      <c r="P330" s="10"/>
      <c r="Q330" s="11"/>
      <c r="R330" s="15">
        <f t="shared" si="39"/>
        <v>269751</v>
      </c>
      <c r="S330" s="15">
        <f t="shared" si="41"/>
        <v>268126</v>
      </c>
      <c r="T330" s="15">
        <f t="shared" si="40"/>
        <v>171926</v>
      </c>
      <c r="U330" s="16">
        <f t="shared" si="42"/>
        <v>137582.05249815129</v>
      </c>
      <c r="V330" s="16">
        <f t="shared" si="43"/>
        <v>229644.48936471861</v>
      </c>
      <c r="W330" s="17">
        <f t="shared" si="37"/>
        <v>1.1170209692753876</v>
      </c>
      <c r="X330" s="17">
        <f t="shared" si="38"/>
        <v>1.7542249108731722</v>
      </c>
    </row>
    <row r="331" spans="14:24" x14ac:dyDescent="0.3">
      <c r="N331" s="10"/>
      <c r="O331" s="10"/>
      <c r="P331" s="10"/>
      <c r="Q331" s="11"/>
      <c r="R331" s="15">
        <f t="shared" si="39"/>
        <v>270581</v>
      </c>
      <c r="S331" s="15">
        <f t="shared" si="41"/>
        <v>268951</v>
      </c>
      <c r="T331" s="15">
        <f t="shared" si="40"/>
        <v>172455</v>
      </c>
      <c r="U331" s="16">
        <f t="shared" si="42"/>
        <v>-150007.15287369376</v>
      </c>
      <c r="V331" s="16">
        <f t="shared" si="43"/>
        <v>-221567.33578220595</v>
      </c>
      <c r="W331" s="17">
        <f t="shared" si="37"/>
        <v>-1.222402058417035</v>
      </c>
      <c r="X331" s="17">
        <f t="shared" si="38"/>
        <v>-1.697188113182188</v>
      </c>
    </row>
    <row r="332" spans="14:24" x14ac:dyDescent="0.3">
      <c r="N332" s="10"/>
      <c r="O332" s="10"/>
      <c r="P332" s="10"/>
      <c r="Q332" s="11"/>
      <c r="R332" s="15">
        <f t="shared" si="39"/>
        <v>271411</v>
      </c>
      <c r="S332" s="15">
        <f t="shared" si="41"/>
        <v>269776</v>
      </c>
      <c r="T332" s="15">
        <f t="shared" si="40"/>
        <v>172984</v>
      </c>
      <c r="U332" s="16">
        <f t="shared" si="42"/>
        <v>165920.29349698429</v>
      </c>
      <c r="V332" s="16">
        <f t="shared" si="43"/>
        <v>214282.46498756748</v>
      </c>
      <c r="W332" s="17">
        <f t="shared" si="37"/>
        <v>1.347541212450891</v>
      </c>
      <c r="X332" s="17">
        <f t="shared" si="38"/>
        <v>1.636717593785703</v>
      </c>
    </row>
    <row r="333" spans="14:24" x14ac:dyDescent="0.3">
      <c r="N333" s="10"/>
      <c r="O333" s="10"/>
      <c r="P333" s="10"/>
      <c r="Q333" s="11"/>
      <c r="R333" s="15">
        <f t="shared" si="39"/>
        <v>272241</v>
      </c>
      <c r="S333" s="15">
        <f t="shared" si="41"/>
        <v>270601</v>
      </c>
      <c r="T333" s="15">
        <f t="shared" si="40"/>
        <v>173513</v>
      </c>
      <c r="U333" s="16">
        <f t="shared" si="42"/>
        <v>-181477.51363174437</v>
      </c>
      <c r="V333" s="16">
        <f t="shared" si="43"/>
        <v>-201638.83902623612</v>
      </c>
      <c r="W333" s="17">
        <f t="shared" si="37"/>
        <v>-1.4784008416536298</v>
      </c>
      <c r="X333" s="17">
        <f t="shared" si="38"/>
        <v>-1.5447508998378736</v>
      </c>
    </row>
    <row r="334" spans="14:24" x14ac:dyDescent="0.3">
      <c r="N334" s="10"/>
      <c r="O334" s="10"/>
      <c r="P334" s="10"/>
      <c r="Q334" s="11"/>
      <c r="R334" s="15">
        <f t="shared" si="39"/>
        <v>273071</v>
      </c>
      <c r="S334" s="15">
        <f t="shared" si="41"/>
        <v>271426</v>
      </c>
      <c r="T334" s="15">
        <f t="shared" si="40"/>
        <v>174042</v>
      </c>
      <c r="U334" s="16">
        <f t="shared" si="42"/>
        <v>192136.37520139659</v>
      </c>
      <c r="V334" s="16">
        <f t="shared" si="43"/>
        <v>189401.38935379768</v>
      </c>
      <c r="W334" s="17">
        <f t="shared" si="37"/>
        <v>1.5607985395326549</v>
      </c>
      <c r="X334" s="17">
        <f t="shared" si="38"/>
        <v>1.4463970753309023</v>
      </c>
    </row>
    <row r="335" spans="14:24" x14ac:dyDescent="0.3">
      <c r="N335" s="10"/>
      <c r="O335" s="10"/>
      <c r="P335" s="10"/>
      <c r="Q335" s="11"/>
      <c r="R335" s="15">
        <f t="shared" si="39"/>
        <v>273901</v>
      </c>
      <c r="S335" s="15">
        <f t="shared" si="41"/>
        <v>272251</v>
      </c>
      <c r="T335" s="15">
        <f t="shared" si="40"/>
        <v>174571</v>
      </c>
      <c r="U335" s="16">
        <f t="shared" si="42"/>
        <v>-204792.48156199901</v>
      </c>
      <c r="V335" s="16">
        <f t="shared" si="43"/>
        <v>-179806.40281108077</v>
      </c>
      <c r="W335" s="17">
        <f t="shared" si="37"/>
        <v>-1.6680587698621128</v>
      </c>
      <c r="X335" s="17">
        <f t="shared" si="38"/>
        <v>-1.3777500578823052</v>
      </c>
    </row>
    <row r="336" spans="14:24" x14ac:dyDescent="0.3">
      <c r="N336" s="10"/>
      <c r="O336" s="10"/>
      <c r="P336" s="10"/>
      <c r="Q336" s="11"/>
      <c r="R336" s="15">
        <f t="shared" si="39"/>
        <v>274731</v>
      </c>
      <c r="S336" s="15">
        <f t="shared" si="41"/>
        <v>273076</v>
      </c>
      <c r="T336" s="15">
        <f t="shared" si="40"/>
        <v>175100</v>
      </c>
      <c r="U336" s="16">
        <f t="shared" si="42"/>
        <v>219002.48606118292</v>
      </c>
      <c r="V336" s="16">
        <f t="shared" si="43"/>
        <v>165595.25744672745</v>
      </c>
      <c r="W336" s="17">
        <f t="shared" si="37"/>
        <v>1.779343593505236</v>
      </c>
      <c r="X336" s="17">
        <f t="shared" si="38"/>
        <v>1.264299024842781</v>
      </c>
    </row>
    <row r="337" spans="14:24" x14ac:dyDescent="0.3">
      <c r="N337" s="10"/>
      <c r="O337" s="10"/>
      <c r="P337" s="10"/>
      <c r="Q337" s="11"/>
      <c r="R337" s="15">
        <f t="shared" si="39"/>
        <v>275561</v>
      </c>
      <c r="S337" s="15">
        <f t="shared" si="41"/>
        <v>273901</v>
      </c>
      <c r="T337" s="15">
        <f t="shared" si="40"/>
        <v>175629</v>
      </c>
      <c r="U337" s="16">
        <f t="shared" si="42"/>
        <v>-227986.56226646417</v>
      </c>
      <c r="V337" s="16">
        <f t="shared" si="43"/>
        <v>-149751.07635679538</v>
      </c>
      <c r="W337" s="17">
        <f t="shared" si="37"/>
        <v>-1.8567333288951078</v>
      </c>
      <c r="X337" s="17">
        <f t="shared" si="38"/>
        <v>-1.147850619558014</v>
      </c>
    </row>
    <row r="338" spans="14:24" x14ac:dyDescent="0.3">
      <c r="N338" s="10"/>
      <c r="O338" s="10"/>
      <c r="P338" s="10"/>
      <c r="Q338" s="11"/>
      <c r="R338" s="15">
        <f t="shared" si="39"/>
        <v>276391</v>
      </c>
      <c r="S338" s="15">
        <f t="shared" si="41"/>
        <v>274726</v>
      </c>
      <c r="T338" s="15">
        <f t="shared" si="40"/>
        <v>176158</v>
      </c>
      <c r="U338" s="16">
        <f t="shared" si="42"/>
        <v>236815.0308994349</v>
      </c>
      <c r="V338" s="16">
        <f t="shared" si="43"/>
        <v>137613.33382702529</v>
      </c>
      <c r="W338" s="17">
        <f t="shared" si="37"/>
        <v>1.9242415131699568</v>
      </c>
      <c r="X338" s="17">
        <f t="shared" si="38"/>
        <v>1.0502594757070403</v>
      </c>
    </row>
    <row r="339" spans="14:24" x14ac:dyDescent="0.3">
      <c r="N339" s="10"/>
      <c r="O339" s="10"/>
      <c r="P339" s="10"/>
      <c r="Q339" s="11"/>
      <c r="R339" s="15">
        <f t="shared" si="39"/>
        <v>277221</v>
      </c>
      <c r="S339" s="15">
        <f t="shared" si="41"/>
        <v>275551</v>
      </c>
      <c r="T339" s="15">
        <f t="shared" si="40"/>
        <v>176687</v>
      </c>
      <c r="U339" s="16">
        <f t="shared" si="42"/>
        <v>-248603.74248293141</v>
      </c>
      <c r="V339" s="16">
        <f t="shared" si="43"/>
        <v>-122569.32236016341</v>
      </c>
      <c r="W339" s="17">
        <f t="shared" si="37"/>
        <v>-2.0244458343145135</v>
      </c>
      <c r="X339" s="17">
        <f t="shared" si="38"/>
        <v>-0.93993173416511455</v>
      </c>
    </row>
    <row r="340" spans="14:24" x14ac:dyDescent="0.3">
      <c r="N340" s="10"/>
      <c r="O340" s="10"/>
      <c r="P340" s="10"/>
      <c r="Q340" s="11"/>
      <c r="R340" s="15">
        <f t="shared" si="39"/>
        <v>278051</v>
      </c>
      <c r="S340" s="15">
        <f t="shared" si="41"/>
        <v>276376</v>
      </c>
      <c r="T340" s="15">
        <f t="shared" si="40"/>
        <v>177216</v>
      </c>
      <c r="U340" s="16">
        <f t="shared" si="42"/>
        <v>255931.33892437903</v>
      </c>
      <c r="V340" s="16">
        <f t="shared" si="43"/>
        <v>104054.58028636289</v>
      </c>
      <c r="W340" s="17">
        <f t="shared" si="37"/>
        <v>2.0797450242985911</v>
      </c>
      <c r="X340" s="17">
        <f t="shared" si="38"/>
        <v>0.7935615954961418</v>
      </c>
    </row>
    <row r="341" spans="14:24" x14ac:dyDescent="0.3">
      <c r="N341" s="10"/>
      <c r="O341" s="10"/>
      <c r="P341" s="10"/>
      <c r="Q341" s="11"/>
      <c r="R341" s="15">
        <f t="shared" si="39"/>
        <v>278881</v>
      </c>
      <c r="S341" s="15">
        <f t="shared" si="41"/>
        <v>277201</v>
      </c>
      <c r="T341" s="15">
        <f t="shared" si="40"/>
        <v>177745</v>
      </c>
      <c r="U341" s="16">
        <f t="shared" si="42"/>
        <v>-260766.74667179256</v>
      </c>
      <c r="V341" s="16">
        <f t="shared" si="43"/>
        <v>-89281.670671867352</v>
      </c>
      <c r="W341" s="17">
        <f t="shared" si="37"/>
        <v>-2.123387003015718</v>
      </c>
      <c r="X341" s="17">
        <f t="shared" si="38"/>
        <v>-0.68530756836495443</v>
      </c>
    </row>
    <row r="342" spans="14:24" x14ac:dyDescent="0.3">
      <c r="N342" s="10"/>
      <c r="O342" s="10"/>
      <c r="P342" s="10"/>
      <c r="Q342" s="11"/>
      <c r="R342" s="15">
        <f t="shared" si="39"/>
        <v>279711</v>
      </c>
      <c r="S342" s="15">
        <f t="shared" si="41"/>
        <v>278026</v>
      </c>
      <c r="T342" s="15">
        <f t="shared" si="40"/>
        <v>178274</v>
      </c>
      <c r="U342" s="16">
        <f t="shared" si="42"/>
        <v>269082.82750285708</v>
      </c>
      <c r="V342" s="16">
        <f t="shared" si="43"/>
        <v>73914.448337497437</v>
      </c>
      <c r="W342" s="17">
        <f t="shared" si="37"/>
        <v>2.1867271176951237</v>
      </c>
      <c r="X342" s="17">
        <f t="shared" si="38"/>
        <v>0.56301346231902905</v>
      </c>
    </row>
    <row r="343" spans="14:24" x14ac:dyDescent="0.3">
      <c r="N343" s="10"/>
      <c r="O343" s="10"/>
      <c r="P343" s="10"/>
      <c r="Q343" s="11"/>
      <c r="R343" s="15">
        <f t="shared" si="39"/>
        <v>280541</v>
      </c>
      <c r="S343" s="15">
        <f t="shared" si="41"/>
        <v>278851</v>
      </c>
      <c r="T343" s="15">
        <f t="shared" si="40"/>
        <v>178803</v>
      </c>
      <c r="U343" s="16">
        <f t="shared" si="42"/>
        <v>-274599.7782365366</v>
      </c>
      <c r="V343" s="16">
        <f t="shared" si="43"/>
        <v>-53925.974929955264</v>
      </c>
      <c r="W343" s="17">
        <f t="shared" si="37"/>
        <v>-2.2359131756984381</v>
      </c>
      <c r="X343" s="17">
        <f t="shared" si="38"/>
        <v>-0.41486450380555528</v>
      </c>
    </row>
    <row r="344" spans="14:24" x14ac:dyDescent="0.3">
      <c r="N344" s="10"/>
      <c r="O344" s="10"/>
      <c r="P344" s="10"/>
      <c r="Q344" s="11"/>
      <c r="R344" s="15">
        <f t="shared" si="39"/>
        <v>281371</v>
      </c>
      <c r="S344" s="15">
        <f t="shared" si="41"/>
        <v>279676</v>
      </c>
      <c r="T344" s="15">
        <f t="shared" si="40"/>
        <v>179332</v>
      </c>
      <c r="U344" s="16">
        <f t="shared" si="42"/>
        <v>275642.32670494373</v>
      </c>
      <c r="V344" s="16">
        <f t="shared" si="43"/>
        <v>36695.840742100838</v>
      </c>
      <c r="W344" s="17">
        <f t="shared" si="37"/>
        <v>2.2400860171143506</v>
      </c>
      <c r="X344" s="17">
        <f t="shared" si="38"/>
        <v>0.27832059783098245</v>
      </c>
    </row>
    <row r="345" spans="14:24" x14ac:dyDescent="0.3">
      <c r="N345" s="10"/>
      <c r="O345" s="10"/>
      <c r="P345" s="10"/>
      <c r="Q345" s="11"/>
      <c r="R345" s="15">
        <f t="shared" si="39"/>
        <v>282201</v>
      </c>
      <c r="S345" s="15">
        <f t="shared" si="41"/>
        <v>280501</v>
      </c>
      <c r="T345" s="15">
        <f t="shared" si="40"/>
        <v>179861</v>
      </c>
      <c r="U345" s="16">
        <f t="shared" si="42"/>
        <v>-279633.0264477802</v>
      </c>
      <c r="V345" s="16">
        <f t="shared" si="43"/>
        <v>-21272.798244993603</v>
      </c>
      <c r="W345" s="17">
        <f t="shared" si="37"/>
        <v>-2.27685663445674</v>
      </c>
      <c r="X345" s="17">
        <f t="shared" si="38"/>
        <v>-0.16509356916624252</v>
      </c>
    </row>
    <row r="346" spans="14:24" x14ac:dyDescent="0.3">
      <c r="N346" s="10"/>
      <c r="O346" s="10"/>
      <c r="P346" s="10"/>
      <c r="Q346" s="11"/>
      <c r="R346" s="15">
        <f t="shared" si="39"/>
        <v>283031</v>
      </c>
      <c r="S346" s="15">
        <f t="shared" si="41"/>
        <v>281326</v>
      </c>
      <c r="T346" s="15">
        <f t="shared" si="40"/>
        <v>180390</v>
      </c>
      <c r="U346" s="16">
        <f t="shared" si="42"/>
        <v>282973.81906828622</v>
      </c>
      <c r="V346" s="16">
        <f t="shared" si="43"/>
        <v>1097.7020748781833</v>
      </c>
      <c r="W346" s="17">
        <f t="shared" si="37"/>
        <v>2.2997247717747635</v>
      </c>
      <c r="X346" s="17">
        <f t="shared" si="38"/>
        <v>6.0230369499621097E-3</v>
      </c>
    </row>
    <row r="347" spans="14:24" x14ac:dyDescent="0.3">
      <c r="N347" s="10"/>
      <c r="O347" s="10"/>
      <c r="P347" s="10"/>
      <c r="Q347" s="11"/>
      <c r="R347" s="15">
        <f t="shared" si="39"/>
        <v>283861</v>
      </c>
      <c r="S347" s="15">
        <f t="shared" si="41"/>
        <v>282151</v>
      </c>
      <c r="T347" s="15">
        <f t="shared" si="40"/>
        <v>180919</v>
      </c>
      <c r="U347" s="16">
        <f t="shared" si="42"/>
        <v>-280681.42233210261</v>
      </c>
      <c r="V347" s="16">
        <f t="shared" si="43"/>
        <v>18058.77457801775</v>
      </c>
      <c r="W347" s="17">
        <f t="shared" si="37"/>
        <v>-2.2853849151714161</v>
      </c>
      <c r="X347" s="17">
        <f t="shared" si="38"/>
        <v>0.13576180547674294</v>
      </c>
    </row>
    <row r="348" spans="14:24" x14ac:dyDescent="0.3">
      <c r="N348" s="10"/>
      <c r="O348" s="10"/>
      <c r="P348" s="10"/>
      <c r="Q348" s="11"/>
      <c r="R348" s="15">
        <f t="shared" si="39"/>
        <v>284691</v>
      </c>
      <c r="S348" s="15">
        <f t="shared" si="41"/>
        <v>282976</v>
      </c>
      <c r="T348" s="15">
        <f t="shared" si="40"/>
        <v>181448</v>
      </c>
      <c r="U348" s="16">
        <f t="shared" si="42"/>
        <v>279845.68131285592</v>
      </c>
      <c r="V348" s="16">
        <f t="shared" si="43"/>
        <v>-33456.537098399174</v>
      </c>
      <c r="W348" s="17">
        <f t="shared" si="37"/>
        <v>2.2742786237199861</v>
      </c>
      <c r="X348" s="17">
        <f t="shared" si="38"/>
        <v>-0.25828951975251213</v>
      </c>
    </row>
    <row r="349" spans="14:24" x14ac:dyDescent="0.3">
      <c r="N349" s="10"/>
      <c r="O349" s="10"/>
      <c r="P349" s="10"/>
      <c r="Q349" s="11"/>
      <c r="R349" s="15">
        <f t="shared" si="39"/>
        <v>285521</v>
      </c>
      <c r="S349" s="15">
        <f t="shared" si="41"/>
        <v>283801</v>
      </c>
      <c r="T349" s="15">
        <f t="shared" si="40"/>
        <v>181977</v>
      </c>
      <c r="U349" s="16">
        <f t="shared" si="42"/>
        <v>-280468.75184995966</v>
      </c>
      <c r="V349" s="16">
        <f t="shared" si="43"/>
        <v>52623.178742474767</v>
      </c>
      <c r="W349" s="17">
        <f t="shared" si="37"/>
        <v>-2.2836549259578351</v>
      </c>
      <c r="X349" s="17">
        <f t="shared" si="38"/>
        <v>0.40015211630929892</v>
      </c>
    </row>
    <row r="350" spans="14:24" x14ac:dyDescent="0.3">
      <c r="N350" s="10"/>
      <c r="O350" s="10"/>
      <c r="P350" s="10"/>
      <c r="Q350" s="11"/>
      <c r="R350" s="15">
        <f t="shared" si="39"/>
        <v>286351</v>
      </c>
      <c r="S350" s="15">
        <f t="shared" si="41"/>
        <v>284626</v>
      </c>
      <c r="T350" s="15">
        <f t="shared" si="40"/>
        <v>182506</v>
      </c>
      <c r="U350" s="16">
        <f t="shared" si="42"/>
        <v>275408.72637654853</v>
      </c>
      <c r="V350" s="16">
        <f t="shared" si="43"/>
        <v>-72812.447722931625</v>
      </c>
      <c r="W350" s="17">
        <f t="shared" si="37"/>
        <v>2.2381857719823484</v>
      </c>
      <c r="X350" s="17">
        <f t="shared" si="38"/>
        <v>-0.55933105929735816</v>
      </c>
    </row>
    <row r="351" spans="14:24" x14ac:dyDescent="0.3">
      <c r="N351" s="10"/>
      <c r="O351" s="10"/>
      <c r="P351" s="10"/>
      <c r="Q351" s="11"/>
      <c r="R351" s="15">
        <f t="shared" si="39"/>
        <v>287181</v>
      </c>
      <c r="S351" s="15">
        <f t="shared" si="41"/>
        <v>285451</v>
      </c>
      <c r="T351" s="15">
        <f t="shared" si="40"/>
        <v>183035</v>
      </c>
      <c r="U351" s="16">
        <f t="shared" si="42"/>
        <v>-269692.44047767768</v>
      </c>
      <c r="V351" s="16">
        <f t="shared" si="43"/>
        <v>88177.770662697949</v>
      </c>
      <c r="W351" s="17">
        <f t="shared" si="37"/>
        <v>-2.1959939480525486</v>
      </c>
      <c r="X351" s="17">
        <f t="shared" si="38"/>
        <v>0.6721165790723781</v>
      </c>
    </row>
    <row r="352" spans="14:24" x14ac:dyDescent="0.3">
      <c r="N352" s="10"/>
      <c r="O352" s="10"/>
      <c r="P352" s="10"/>
      <c r="Q352" s="11"/>
      <c r="R352" s="15">
        <f t="shared" si="39"/>
        <v>288011</v>
      </c>
      <c r="S352" s="15">
        <f t="shared" si="41"/>
        <v>286276</v>
      </c>
      <c r="T352" s="15">
        <f t="shared" si="40"/>
        <v>183564</v>
      </c>
      <c r="U352" s="16">
        <f t="shared" si="42"/>
        <v>266984.68049803365</v>
      </c>
      <c r="V352" s="16">
        <f t="shared" si="43"/>
        <v>-105387.66306728589</v>
      </c>
      <c r="W352" s="17">
        <f t="shared" si="37"/>
        <v>2.1696595319621292</v>
      </c>
      <c r="X352" s="17">
        <f t="shared" si="38"/>
        <v>-0.80850565143997866</v>
      </c>
    </row>
    <row r="353" spans="14:24" x14ac:dyDescent="0.3">
      <c r="N353" s="10"/>
      <c r="O353" s="10"/>
      <c r="P353" s="10"/>
      <c r="Q353" s="11"/>
      <c r="R353" s="15">
        <f t="shared" si="39"/>
        <v>288841</v>
      </c>
      <c r="S353" s="15">
        <f t="shared" si="41"/>
        <v>287101</v>
      </c>
      <c r="T353" s="15">
        <f t="shared" si="40"/>
        <v>184093</v>
      </c>
      <c r="U353" s="16">
        <f t="shared" si="42"/>
        <v>-259682.45964683281</v>
      </c>
      <c r="V353" s="16">
        <f t="shared" si="43"/>
        <v>125425.16620129631</v>
      </c>
      <c r="W353" s="17">
        <f t="shared" si="37"/>
        <v>-2.1145667622436797</v>
      </c>
      <c r="X353" s="17">
        <f t="shared" si="38"/>
        <v>0.95702964852085537</v>
      </c>
    </row>
    <row r="354" spans="14:24" x14ac:dyDescent="0.3">
      <c r="N354" s="10"/>
      <c r="O354" s="10"/>
      <c r="P354" s="10"/>
      <c r="Q354" s="11"/>
      <c r="R354" s="15">
        <f t="shared" si="39"/>
        <v>289671</v>
      </c>
      <c r="S354" s="15">
        <f t="shared" si="41"/>
        <v>287926</v>
      </c>
      <c r="T354" s="15">
        <f t="shared" si="40"/>
        <v>184622</v>
      </c>
      <c r="U354" s="16">
        <f t="shared" si="42"/>
        <v>249493.3723088172</v>
      </c>
      <c r="V354" s="16">
        <f t="shared" si="43"/>
        <v>-140687.47249554339</v>
      </c>
      <c r="W354" s="17">
        <f t="shared" si="37"/>
        <v>2.0273747438060155</v>
      </c>
      <c r="X354" s="17">
        <f t="shared" si="38"/>
        <v>-1.07852122997161</v>
      </c>
    </row>
    <row r="355" spans="14:24" x14ac:dyDescent="0.3">
      <c r="N355" s="10"/>
      <c r="O355" s="10"/>
      <c r="P355" s="10"/>
      <c r="Q355" s="11"/>
      <c r="R355" s="15">
        <f t="shared" si="39"/>
        <v>290501</v>
      </c>
      <c r="S355" s="15">
        <f t="shared" si="41"/>
        <v>288751</v>
      </c>
      <c r="T355" s="15">
        <f t="shared" si="40"/>
        <v>185151</v>
      </c>
      <c r="U355" s="16">
        <f t="shared" si="42"/>
        <v>-242920.98677419024</v>
      </c>
      <c r="V355" s="16">
        <f t="shared" si="43"/>
        <v>155333.22887350124</v>
      </c>
      <c r="W355" s="17">
        <f t="shared" si="37"/>
        <v>-1.9782188921433341</v>
      </c>
      <c r="X355" s="17">
        <f t="shared" si="38"/>
        <v>1.185802635570784</v>
      </c>
    </row>
    <row r="356" spans="14:24" x14ac:dyDescent="0.3">
      <c r="N356" s="10"/>
      <c r="O356" s="10"/>
      <c r="P356" s="10"/>
      <c r="Q356" s="11"/>
      <c r="R356" s="15">
        <f t="shared" si="39"/>
        <v>291331</v>
      </c>
      <c r="S356" s="15">
        <f t="shared" si="41"/>
        <v>289576</v>
      </c>
      <c r="T356" s="15">
        <f t="shared" si="40"/>
        <v>185680</v>
      </c>
      <c r="U356" s="16">
        <f t="shared" si="42"/>
        <v>233743.69398014495</v>
      </c>
      <c r="V356" s="16">
        <f t="shared" si="43"/>
        <v>-173885.635241393</v>
      </c>
      <c r="W356" s="17">
        <f t="shared" si="37"/>
        <v>1.8992574171726866</v>
      </c>
      <c r="X356" s="17">
        <f t="shared" si="38"/>
        <v>-1.3324608762528767</v>
      </c>
    </row>
    <row r="357" spans="14:24" x14ac:dyDescent="0.3">
      <c r="N357" s="10"/>
      <c r="O357" s="10"/>
      <c r="P357" s="10"/>
      <c r="Q357" s="11"/>
      <c r="R357" s="15">
        <f t="shared" si="39"/>
        <v>292161</v>
      </c>
      <c r="S357" s="15">
        <f t="shared" si="41"/>
        <v>290401</v>
      </c>
      <c r="T357" s="15">
        <f t="shared" si="40"/>
        <v>186209</v>
      </c>
      <c r="U357" s="16">
        <f t="shared" si="42"/>
        <v>-219881.57518653755</v>
      </c>
      <c r="V357" s="16">
        <f t="shared" si="43"/>
        <v>188786.85754867198</v>
      </c>
      <c r="W357" s="17">
        <f t="shared" si="37"/>
        <v>-1.7908025044421738</v>
      </c>
      <c r="X357" s="17">
        <f t="shared" si="38"/>
        <v>1.4416963938378664</v>
      </c>
    </row>
    <row r="358" spans="14:24" x14ac:dyDescent="0.3">
      <c r="N358" s="10"/>
      <c r="O358" s="10"/>
      <c r="P358" s="10"/>
      <c r="Q358" s="11"/>
      <c r="R358" s="15">
        <f t="shared" si="39"/>
        <v>292991</v>
      </c>
      <c r="S358" s="15">
        <f t="shared" si="41"/>
        <v>291226</v>
      </c>
      <c r="T358" s="15">
        <f t="shared" si="40"/>
        <v>186738</v>
      </c>
      <c r="U358" s="16">
        <f t="shared" si="42"/>
        <v>209151.71735104534</v>
      </c>
      <c r="V358" s="16">
        <f t="shared" si="43"/>
        <v>-200616.83913685143</v>
      </c>
      <c r="W358" s="17">
        <f t="shared" si="37"/>
        <v>1.6992115345457521</v>
      </c>
      <c r="X358" s="17">
        <f t="shared" si="38"/>
        <v>-1.5369334102859167</v>
      </c>
    </row>
    <row r="359" spans="14:24" x14ac:dyDescent="0.3">
      <c r="N359" s="10"/>
      <c r="O359" s="10"/>
      <c r="P359" s="10"/>
      <c r="Q359" s="11"/>
      <c r="R359" s="15">
        <f t="shared" si="39"/>
        <v>293821</v>
      </c>
      <c r="S359" s="15">
        <f t="shared" si="41"/>
        <v>292051</v>
      </c>
      <c r="T359" s="15">
        <f t="shared" si="40"/>
        <v>187267</v>
      </c>
      <c r="U359" s="16">
        <f t="shared" si="42"/>
        <v>-198255.56933255726</v>
      </c>
      <c r="V359" s="16">
        <f t="shared" si="43"/>
        <v>216386.80235276034</v>
      </c>
      <c r="W359" s="17">
        <f t="shared" si="37"/>
        <v>-1.6148836064209562</v>
      </c>
      <c r="X359" s="17">
        <f t="shared" si="38"/>
        <v>1.6528141076278835</v>
      </c>
    </row>
    <row r="360" spans="14:24" x14ac:dyDescent="0.3">
      <c r="N360" s="10"/>
      <c r="O360" s="10"/>
      <c r="P360" s="10"/>
      <c r="Q360" s="11"/>
      <c r="R360" s="15">
        <f t="shared" si="39"/>
        <v>294651</v>
      </c>
      <c r="S360" s="15">
        <f t="shared" si="41"/>
        <v>292876</v>
      </c>
      <c r="T360" s="15">
        <f t="shared" si="40"/>
        <v>187796</v>
      </c>
      <c r="U360" s="16">
        <f t="shared" si="42"/>
        <v>181772.86822196672</v>
      </c>
      <c r="V360" s="16">
        <f t="shared" si="43"/>
        <v>-230406.3991521711</v>
      </c>
      <c r="W360" s="17">
        <f t="shared" si="37"/>
        <v>1.4764955600658778</v>
      </c>
      <c r="X360" s="17">
        <f t="shared" si="38"/>
        <v>-1.764799945885408</v>
      </c>
    </row>
    <row r="361" spans="14:24" x14ac:dyDescent="0.3">
      <c r="N361" s="10"/>
      <c r="O361" s="10"/>
      <c r="P361" s="10"/>
      <c r="Q361" s="11"/>
      <c r="R361" s="15">
        <f t="shared" si="39"/>
        <v>295481</v>
      </c>
      <c r="S361" s="15">
        <f t="shared" si="41"/>
        <v>293701</v>
      </c>
      <c r="T361" s="15">
        <f t="shared" si="40"/>
        <v>188325</v>
      </c>
      <c r="U361" s="16">
        <f t="shared" si="42"/>
        <v>-166966.18706975511</v>
      </c>
      <c r="V361" s="16">
        <f t="shared" si="43"/>
        <v>239460.6174002607</v>
      </c>
      <c r="W361" s="17">
        <f t="shared" si="37"/>
        <v>-1.3603570107748304</v>
      </c>
      <c r="X361" s="17">
        <f t="shared" si="38"/>
        <v>1.8293105142627399</v>
      </c>
    </row>
    <row r="362" spans="14:24" x14ac:dyDescent="0.3">
      <c r="N362" s="10"/>
      <c r="O362" s="10"/>
      <c r="P362" s="10"/>
      <c r="Q362" s="11"/>
      <c r="R362" s="15">
        <f t="shared" si="39"/>
        <v>296311</v>
      </c>
      <c r="S362" s="15">
        <f t="shared" si="41"/>
        <v>294526</v>
      </c>
      <c r="T362" s="15">
        <f t="shared" si="40"/>
        <v>188854</v>
      </c>
      <c r="U362" s="16">
        <f t="shared" si="42"/>
        <v>154320.60094960997</v>
      </c>
      <c r="V362" s="16">
        <f t="shared" si="43"/>
        <v>-251375.0979198266</v>
      </c>
      <c r="W362" s="17">
        <f t="shared" si="37"/>
        <v>1.2531823583889214</v>
      </c>
      <c r="X362" s="17">
        <f t="shared" si="38"/>
        <v>-1.925193880598032</v>
      </c>
    </row>
    <row r="363" spans="14:24" x14ac:dyDescent="0.3">
      <c r="N363" s="10"/>
      <c r="O363" s="10"/>
      <c r="P363" s="10"/>
      <c r="Q363" s="11"/>
      <c r="R363" s="15">
        <f t="shared" si="39"/>
        <v>297141</v>
      </c>
      <c r="S363" s="15">
        <f t="shared" si="41"/>
        <v>295351</v>
      </c>
      <c r="T363" s="15">
        <f t="shared" si="40"/>
        <v>189383</v>
      </c>
      <c r="U363" s="16">
        <f t="shared" si="42"/>
        <v>-136344.91678087978</v>
      </c>
      <c r="V363" s="16">
        <f t="shared" si="43"/>
        <v>263728.4965084694</v>
      </c>
      <c r="W363" s="17">
        <f t="shared" si="37"/>
        <v>-1.11126523850763</v>
      </c>
      <c r="X363" s="17">
        <f t="shared" si="38"/>
        <v>2.0149405650554</v>
      </c>
    </row>
    <row r="364" spans="14:24" x14ac:dyDescent="0.3">
      <c r="N364" s="10"/>
      <c r="O364" s="10"/>
      <c r="P364" s="10"/>
      <c r="Q364" s="11"/>
      <c r="R364" s="15">
        <f t="shared" si="39"/>
        <v>297971</v>
      </c>
      <c r="S364" s="15">
        <f t="shared" si="41"/>
        <v>296176</v>
      </c>
      <c r="T364" s="15">
        <f t="shared" si="40"/>
        <v>189912</v>
      </c>
      <c r="U364" s="16">
        <f t="shared" si="42"/>
        <v>117984.51520466189</v>
      </c>
      <c r="V364" s="16">
        <f t="shared" si="43"/>
        <v>-270214.96956278174</v>
      </c>
      <c r="W364" s="17">
        <f t="shared" si="37"/>
        <v>0.95760285074353491</v>
      </c>
      <c r="X364" s="17">
        <f t="shared" si="38"/>
        <v>-2.0693039742083963</v>
      </c>
    </row>
    <row r="365" spans="14:24" x14ac:dyDescent="0.3">
      <c r="N365" s="10"/>
      <c r="O365" s="10"/>
      <c r="P365" s="10"/>
      <c r="Q365" s="11"/>
      <c r="R365" s="15">
        <f t="shared" si="39"/>
        <v>298801</v>
      </c>
      <c r="S365" s="15">
        <f t="shared" si="41"/>
        <v>297001</v>
      </c>
      <c r="T365" s="15">
        <f t="shared" si="40"/>
        <v>190441</v>
      </c>
      <c r="U365" s="16">
        <f t="shared" si="42"/>
        <v>-103466.303266288</v>
      </c>
      <c r="V365" s="16">
        <f t="shared" si="43"/>
        <v>277576.36584621225</v>
      </c>
      <c r="W365" s="17">
        <f t="shared" si="37"/>
        <v>-0.8438108829966724</v>
      </c>
      <c r="X365" s="17">
        <f t="shared" si="38"/>
        <v>2.1208657955657921</v>
      </c>
    </row>
    <row r="366" spans="14:24" x14ac:dyDescent="0.3">
      <c r="N366" s="10"/>
      <c r="O366" s="10"/>
      <c r="P366" s="10"/>
      <c r="Q366" s="11"/>
      <c r="R366" s="15">
        <f t="shared" si="39"/>
        <v>299631</v>
      </c>
      <c r="S366" s="15">
        <f t="shared" si="41"/>
        <v>297826</v>
      </c>
      <c r="T366" s="15">
        <f t="shared" si="40"/>
        <v>190970</v>
      </c>
      <c r="U366" s="16">
        <f t="shared" si="42"/>
        <v>85024.850480297537</v>
      </c>
      <c r="V366" s="16">
        <f t="shared" si="43"/>
        <v>-287293.3717589124</v>
      </c>
      <c r="W366" s="17">
        <f t="shared" si="37"/>
        <v>0.68948917609603599</v>
      </c>
      <c r="X366" s="17">
        <f t="shared" si="38"/>
        <v>-2.1999402219410156</v>
      </c>
    </row>
    <row r="367" spans="14:24" x14ac:dyDescent="0.3">
      <c r="N367" s="10"/>
      <c r="O367" s="10"/>
      <c r="P367" s="10"/>
      <c r="Q367" s="11"/>
      <c r="R367" s="15">
        <f t="shared" si="39"/>
        <v>300461</v>
      </c>
      <c r="S367" s="15">
        <f t="shared" si="41"/>
        <v>298651</v>
      </c>
      <c r="T367" s="15">
        <f t="shared" si="40"/>
        <v>191499</v>
      </c>
      <c r="U367" s="16">
        <f t="shared" si="42"/>
        <v>-64061.065605969663</v>
      </c>
      <c r="V367" s="16">
        <f t="shared" si="43"/>
        <v>291438.77082138578</v>
      </c>
      <c r="W367" s="17">
        <f t="shared" si="37"/>
        <v>-0.52326505348597141</v>
      </c>
      <c r="X367" s="17">
        <f t="shared" si="38"/>
        <v>2.2269022121877731</v>
      </c>
    </row>
    <row r="368" spans="14:24" x14ac:dyDescent="0.3">
      <c r="N368" s="10"/>
      <c r="O368" s="10"/>
      <c r="P368" s="10"/>
      <c r="Q368" s="11"/>
      <c r="R368" s="15">
        <f t="shared" si="39"/>
        <v>301291</v>
      </c>
      <c r="S368" s="15">
        <f t="shared" si="41"/>
        <v>299476</v>
      </c>
      <c r="T368" s="15">
        <f t="shared" si="40"/>
        <v>192028</v>
      </c>
      <c r="U368" s="16">
        <f t="shared" si="42"/>
        <v>47593.95378821616</v>
      </c>
      <c r="V368" s="16">
        <f t="shared" si="43"/>
        <v>-294006.00912687375</v>
      </c>
      <c r="W368" s="17">
        <f t="shared" si="37"/>
        <v>0.38500381978577425</v>
      </c>
      <c r="X368" s="17">
        <f t="shared" si="38"/>
        <v>-2.2512865802284971</v>
      </c>
    </row>
    <row r="369" spans="14:24" x14ac:dyDescent="0.3">
      <c r="N369" s="10"/>
      <c r="O369" s="10"/>
      <c r="P369" s="10"/>
      <c r="Q369" s="11"/>
      <c r="R369" s="15">
        <f t="shared" si="39"/>
        <v>302121</v>
      </c>
      <c r="S369" s="15">
        <f t="shared" si="41"/>
        <v>300301</v>
      </c>
      <c r="T369" s="15">
        <f t="shared" si="40"/>
        <v>192557</v>
      </c>
      <c r="U369" s="16">
        <f t="shared" si="42"/>
        <v>-29479.461686108454</v>
      </c>
      <c r="V369" s="16">
        <f t="shared" si="43"/>
        <v>300075.83276957995</v>
      </c>
      <c r="W369" s="17">
        <f t="shared" si="37"/>
        <v>-0.24195755294867183</v>
      </c>
      <c r="X369" s="17">
        <f t="shared" si="38"/>
        <v>2.2929688940347379</v>
      </c>
    </row>
    <row r="370" spans="14:24" x14ac:dyDescent="0.3">
      <c r="N370" s="10"/>
      <c r="O370" s="10"/>
      <c r="P370" s="10"/>
      <c r="Q370" s="11"/>
      <c r="R370" s="15">
        <f t="shared" si="39"/>
        <v>302951</v>
      </c>
      <c r="S370" s="15">
        <f t="shared" si="41"/>
        <v>301126</v>
      </c>
      <c r="T370" s="15">
        <f t="shared" si="40"/>
        <v>193086</v>
      </c>
      <c r="U370" s="16">
        <f t="shared" si="42"/>
        <v>7189.1342024294554</v>
      </c>
      <c r="V370" s="16">
        <f t="shared" si="43"/>
        <v>-301990.50688363955</v>
      </c>
      <c r="W370" s="17">
        <f t="shared" si="37"/>
        <v>5.6326791569328127E-2</v>
      </c>
      <c r="X370" s="17">
        <f t="shared" si="38"/>
        <v>-2.3123616629554822</v>
      </c>
    </row>
    <row r="371" spans="14:24" x14ac:dyDescent="0.3">
      <c r="N371" s="10"/>
      <c r="O371" s="10"/>
      <c r="P371" s="10"/>
      <c r="Q371" s="11"/>
      <c r="R371" s="15">
        <f t="shared" si="39"/>
        <v>303781</v>
      </c>
      <c r="S371" s="15">
        <f t="shared" si="41"/>
        <v>301951</v>
      </c>
      <c r="T371" s="15">
        <f t="shared" si="40"/>
        <v>193615</v>
      </c>
      <c r="U371" s="16">
        <f t="shared" si="42"/>
        <v>11108.47864907345</v>
      </c>
      <c r="V371" s="16">
        <f t="shared" si="43"/>
        <v>299973.10170596</v>
      </c>
      <c r="W371" s="17">
        <f t="shared" si="37"/>
        <v>8.820908923791447E-2</v>
      </c>
      <c r="X371" s="17">
        <f t="shared" si="38"/>
        <v>2.2921830827789327</v>
      </c>
    </row>
    <row r="372" spans="14:24" x14ac:dyDescent="0.3">
      <c r="N372" s="10"/>
      <c r="O372" s="10"/>
      <c r="P372" s="10"/>
      <c r="Q372" s="11"/>
      <c r="R372" s="15">
        <f t="shared" si="39"/>
        <v>304611</v>
      </c>
      <c r="S372" s="15">
        <f t="shared" si="41"/>
        <v>302776</v>
      </c>
      <c r="T372" s="15">
        <f t="shared" si="40"/>
        <v>194144</v>
      </c>
      <c r="U372" s="16">
        <f t="shared" si="42"/>
        <v>-28401.237614027024</v>
      </c>
      <c r="V372" s="16">
        <f t="shared" si="43"/>
        <v>-301525.50486255623</v>
      </c>
      <c r="W372" s="17">
        <f t="shared" si="37"/>
        <v>-0.23318663187053829</v>
      </c>
      <c r="X372" s="17">
        <f t="shared" si="38"/>
        <v>-2.3088047658567494</v>
      </c>
    </row>
    <row r="373" spans="14:24" x14ac:dyDescent="0.3">
      <c r="N373" s="10"/>
      <c r="O373" s="10"/>
      <c r="P373" s="10"/>
      <c r="Q373" s="11"/>
      <c r="R373" s="15">
        <f t="shared" si="39"/>
        <v>305441</v>
      </c>
      <c r="S373" s="15">
        <f t="shared" si="41"/>
        <v>303601</v>
      </c>
      <c r="T373" s="15">
        <f t="shared" si="40"/>
        <v>194673</v>
      </c>
      <c r="U373" s="16">
        <f t="shared" si="42"/>
        <v>50582.30977051318</v>
      </c>
      <c r="V373" s="16">
        <f t="shared" si="43"/>
        <v>301119.39284278726</v>
      </c>
      <c r="W373" s="17">
        <f t="shared" si="37"/>
        <v>0.40931289908827745</v>
      </c>
      <c r="X373" s="17">
        <f t="shared" si="38"/>
        <v>2.300951301913519</v>
      </c>
    </row>
    <row r="374" spans="14:24" x14ac:dyDescent="0.3">
      <c r="N374" s="10"/>
      <c r="O374" s="10"/>
      <c r="P374" s="10"/>
      <c r="Q374" s="11"/>
      <c r="R374" s="15">
        <f t="shared" si="39"/>
        <v>306271</v>
      </c>
      <c r="S374" s="15">
        <f t="shared" si="41"/>
        <v>304426</v>
      </c>
      <c r="T374" s="15">
        <f t="shared" si="40"/>
        <v>195202</v>
      </c>
      <c r="U374" s="16">
        <f t="shared" si="42"/>
        <v>-70281.789646104662</v>
      </c>
      <c r="V374" s="16">
        <f t="shared" si="43"/>
        <v>-295087.59654764971</v>
      </c>
      <c r="W374" s="17">
        <f t="shared" si="37"/>
        <v>-0.5738681526168834</v>
      </c>
      <c r="X374" s="17">
        <f t="shared" si="38"/>
        <v>-2.2595598671918986</v>
      </c>
    </row>
    <row r="375" spans="14:24" x14ac:dyDescent="0.3">
      <c r="N375" s="10"/>
      <c r="O375" s="10"/>
      <c r="P375" s="10"/>
      <c r="Q375" s="11"/>
      <c r="R375" s="15">
        <f t="shared" si="39"/>
        <v>307101</v>
      </c>
      <c r="S375" s="15">
        <f t="shared" si="41"/>
        <v>305251</v>
      </c>
      <c r="T375" s="15">
        <f t="shared" si="40"/>
        <v>195731</v>
      </c>
      <c r="U375" s="16">
        <f t="shared" si="42"/>
        <v>86537.034007286362</v>
      </c>
      <c r="V375" s="16">
        <f t="shared" si="43"/>
        <v>291569.50452853087</v>
      </c>
      <c r="W375" s="17">
        <f t="shared" si="37"/>
        <v>0.7017901835714756</v>
      </c>
      <c r="X375" s="17">
        <f t="shared" si="38"/>
        <v>2.2279022214835771</v>
      </c>
    </row>
    <row r="376" spans="14:24" x14ac:dyDescent="0.3">
      <c r="N376" s="10"/>
      <c r="O376" s="10"/>
      <c r="P376" s="10"/>
      <c r="Q376" s="11"/>
      <c r="R376" s="15">
        <f t="shared" si="39"/>
        <v>307931</v>
      </c>
      <c r="S376" s="15">
        <f t="shared" si="41"/>
        <v>306076</v>
      </c>
      <c r="T376" s="15">
        <f t="shared" si="40"/>
        <v>196260</v>
      </c>
      <c r="U376" s="16">
        <f t="shared" si="42"/>
        <v>-107213.79889960506</v>
      </c>
      <c r="V376" s="16">
        <f t="shared" si="43"/>
        <v>-288542.76469423587</v>
      </c>
      <c r="W376" s="17">
        <f t="shared" si="37"/>
        <v>-0.87429525938146491</v>
      </c>
      <c r="X376" s="17">
        <f t="shared" si="38"/>
        <v>-2.2094970881595239</v>
      </c>
    </row>
    <row r="377" spans="14:24" x14ac:dyDescent="0.3">
      <c r="N377" s="10"/>
      <c r="O377" s="10"/>
      <c r="P377" s="10"/>
      <c r="Q377" s="11"/>
      <c r="R377" s="15">
        <f t="shared" si="39"/>
        <v>308761</v>
      </c>
      <c r="S377" s="15">
        <f t="shared" si="41"/>
        <v>306901</v>
      </c>
      <c r="T377" s="15">
        <f t="shared" si="40"/>
        <v>196789</v>
      </c>
      <c r="U377" s="16">
        <f t="shared" si="42"/>
        <v>127526.74178139209</v>
      </c>
      <c r="V377" s="16">
        <f t="shared" si="43"/>
        <v>279276.47312873701</v>
      </c>
      <c r="W377" s="17">
        <f t="shared" si="37"/>
        <v>1.0352250429958409</v>
      </c>
      <c r="X377" s="17">
        <f t="shared" si="38"/>
        <v>2.1338702694961609</v>
      </c>
    </row>
    <row r="378" spans="14:24" x14ac:dyDescent="0.3">
      <c r="N378" s="10"/>
      <c r="O378" s="10"/>
      <c r="P378" s="10"/>
      <c r="Q378" s="11"/>
      <c r="R378" s="15">
        <f t="shared" si="39"/>
        <v>309591</v>
      </c>
      <c r="S378" s="15">
        <f t="shared" si="41"/>
        <v>307726</v>
      </c>
      <c r="T378" s="15">
        <f t="shared" si="40"/>
        <v>197318</v>
      </c>
      <c r="U378" s="16">
        <f t="shared" si="42"/>
        <v>-142714.84560484622</v>
      </c>
      <c r="V378" s="16">
        <f t="shared" si="43"/>
        <v>-270582.85534902528</v>
      </c>
      <c r="W378" s="17">
        <f t="shared" si="37"/>
        <v>-1.1630820588096333</v>
      </c>
      <c r="X378" s="17">
        <f t="shared" si="38"/>
        <v>-2.07211800904357</v>
      </c>
    </row>
    <row r="379" spans="14:24" x14ac:dyDescent="0.3">
      <c r="N379" s="10"/>
      <c r="O379" s="10"/>
      <c r="P379" s="10"/>
      <c r="Q379" s="11"/>
      <c r="R379" s="15">
        <f t="shared" si="39"/>
        <v>310421</v>
      </c>
      <c r="S379" s="15">
        <f t="shared" si="41"/>
        <v>308551</v>
      </c>
      <c r="T379" s="15">
        <f t="shared" si="40"/>
        <v>197847</v>
      </c>
      <c r="U379" s="16">
        <f t="shared" si="42"/>
        <v>160722.2323135983</v>
      </c>
      <c r="V379" s="16">
        <f t="shared" si="43"/>
        <v>264496.23911425081</v>
      </c>
      <c r="W379" s="17">
        <f t="shared" si="37"/>
        <v>1.3052570661595022</v>
      </c>
      <c r="X379" s="17">
        <f t="shared" si="38"/>
        <v>2.0208131878038254</v>
      </c>
    </row>
    <row r="380" spans="14:24" x14ac:dyDescent="0.3">
      <c r="N380" s="10"/>
      <c r="O380" s="10"/>
      <c r="P380" s="10"/>
      <c r="Q380" s="11"/>
      <c r="R380" s="15">
        <f t="shared" si="39"/>
        <v>311251</v>
      </c>
      <c r="S380" s="15">
        <f t="shared" si="41"/>
        <v>309376</v>
      </c>
      <c r="T380" s="15">
        <f t="shared" si="40"/>
        <v>198376</v>
      </c>
      <c r="U380" s="16">
        <f t="shared" si="42"/>
        <v>-180535.64018450462</v>
      </c>
      <c r="V380" s="16">
        <f t="shared" si="43"/>
        <v>-252809.57015224011</v>
      </c>
      <c r="W380" s="17">
        <f t="shared" si="37"/>
        <v>-1.4707390783103371</v>
      </c>
      <c r="X380" s="17">
        <f t="shared" si="38"/>
        <v>-1.9361664568242549</v>
      </c>
    </row>
    <row r="381" spans="14:24" x14ac:dyDescent="0.3">
      <c r="N381" s="10"/>
      <c r="O381" s="10"/>
      <c r="P381" s="10"/>
      <c r="Q381" s="11"/>
      <c r="R381" s="15">
        <f t="shared" si="39"/>
        <v>312081</v>
      </c>
      <c r="S381" s="15">
        <f t="shared" si="41"/>
        <v>310201</v>
      </c>
      <c r="T381" s="15">
        <f t="shared" si="40"/>
        <v>198905</v>
      </c>
      <c r="U381" s="16">
        <f t="shared" si="42"/>
        <v>194673.42506789439</v>
      </c>
      <c r="V381" s="16">
        <f t="shared" si="43"/>
        <v>239336.78861833943</v>
      </c>
      <c r="W381" s="17">
        <f t="shared" si="37"/>
        <v>1.5814364242975398</v>
      </c>
      <c r="X381" s="17">
        <f t="shared" si="38"/>
        <v>1.8283633221749951</v>
      </c>
    </row>
    <row r="383" spans="14:24" x14ac:dyDescent="0.3">
      <c r="W383" s="18"/>
      <c r="X383" s="18"/>
    </row>
  </sheetData>
  <phoneticPr fontId="3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NewChartButton">
              <controlPr defaultSize="0" print="0" autoFill="0" autoLine="0" autoPict="0" macro="[0]!RandomButton_Click">
                <anchor>
                  <from>
                    <xdr:col>0</xdr:col>
                    <xdr:colOff>137160</xdr:colOff>
                    <xdr:row>1</xdr:row>
                    <xdr:rowOff>7620</xdr:rowOff>
                  </from>
                  <to>
                    <xdr:col>0</xdr:col>
                    <xdr:colOff>1219200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bSmoothLines">
              <controlPr defaultSize="0" autoFill="0" autoLine="0" autoPict="0" macro="[0]!cbSmoothLines_Click">
                <anchor>
                  <from>
                    <xdr:col>0</xdr:col>
                    <xdr:colOff>137160</xdr:colOff>
                    <xdr:row>5</xdr:row>
                    <xdr:rowOff>160020</xdr:rowOff>
                  </from>
                  <to>
                    <xdr:col>0</xdr:col>
                    <xdr:colOff>1143000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AddToFavoritesButton">
              <controlPr defaultSize="0" print="0" autoFill="0" autoLine="0" autoPict="0" macro="[0]!AddToFavoritesButton_Cklick">
                <anchor moveWithCells="1" sizeWithCells="1">
                  <from>
                    <xdr:col>0</xdr:col>
                    <xdr:colOff>220980</xdr:colOff>
                    <xdr:row>0</xdr:row>
                    <xdr:rowOff>144780</xdr:rowOff>
                  </from>
                  <to>
                    <xdr:col>1</xdr:col>
                    <xdr:colOff>792480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Scroll Bar 13">
              <controlPr defaultSize="0" autoPict="0">
                <anchor>
                  <from>
                    <xdr:col>0</xdr:col>
                    <xdr:colOff>137160</xdr:colOff>
                    <xdr:row>2</xdr:row>
                    <xdr:rowOff>60960</xdr:rowOff>
                  </from>
                  <to>
                    <xdr:col>0</xdr:col>
                    <xdr:colOff>1219200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Scroll Bar 14">
              <controlPr defaultSize="0" autoPict="0">
                <anchor>
                  <from>
                    <xdr:col>0</xdr:col>
                    <xdr:colOff>137160</xdr:colOff>
                    <xdr:row>3</xdr:row>
                    <xdr:rowOff>76200</xdr:rowOff>
                  </from>
                  <to>
                    <xdr:col>0</xdr:col>
                    <xdr:colOff>1219200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Scroll Bar 15">
              <controlPr defaultSize="0" autoPict="0">
                <anchor>
                  <from>
                    <xdr:col>0</xdr:col>
                    <xdr:colOff>137160</xdr:colOff>
                    <xdr:row>4</xdr:row>
                    <xdr:rowOff>76200</xdr:rowOff>
                  </from>
                  <to>
                    <xdr:col>0</xdr:col>
                    <xdr:colOff>1219200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AnimateButton">
              <controlPr defaultSize="0" print="0" autoFill="0" autoLine="0" autoPict="0" macro="[0]!AnimateButton_Click">
                <anchor moveWithCells="1" sizeWithCells="1">
                  <from>
                    <xdr:col>0</xdr:col>
                    <xdr:colOff>121920</xdr:colOff>
                    <xdr:row>8</xdr:row>
                    <xdr:rowOff>152400</xdr:rowOff>
                  </from>
                  <to>
                    <xdr:col>0</xdr:col>
                    <xdr:colOff>1211580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1" name="Scroll Bar 24">
              <controlPr defaultSize="0" autoPict="0">
                <anchor moveWithCells="1">
                  <from>
                    <xdr:col>0</xdr:col>
                    <xdr:colOff>121920</xdr:colOff>
                    <xdr:row>10</xdr:row>
                    <xdr:rowOff>76200</xdr:rowOff>
                  </from>
                  <to>
                    <xdr:col>0</xdr:col>
                    <xdr:colOff>1211580</xdr:colOff>
                    <xdr:row>11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V29"/>
  <sheetViews>
    <sheetView showGridLines="0" showRowColHeaders="0" workbookViewId="0">
      <pane ySplit="1" topLeftCell="A2" activePane="bottomLeft" state="frozen"/>
      <selection pane="bottomLeft" activeCell="B25" sqref="B25"/>
    </sheetView>
  </sheetViews>
  <sheetFormatPr defaultRowHeight="14.4" x14ac:dyDescent="0.3"/>
  <cols>
    <col min="1" max="1" width="4.109375" customWidth="1"/>
    <col min="2" max="2" width="87" customWidth="1"/>
  </cols>
  <sheetData>
    <row r="1" spans="2:22" ht="30" customHeight="1" x14ac:dyDescent="0.3"/>
    <row r="2" spans="2:22" x14ac:dyDescent="0.3">
      <c r="B2" s="2" t="s">
        <v>18</v>
      </c>
      <c r="V2">
        <v>0</v>
      </c>
    </row>
    <row r="3" spans="2:22" x14ac:dyDescent="0.3">
      <c r="B3" t="s">
        <v>20</v>
      </c>
    </row>
    <row r="4" spans="2:22" x14ac:dyDescent="0.3">
      <c r="B4" t="s">
        <v>21</v>
      </c>
    </row>
    <row r="5" spans="2:22" x14ac:dyDescent="0.3">
      <c r="B5" t="s">
        <v>19</v>
      </c>
    </row>
    <row r="7" spans="2:22" x14ac:dyDescent="0.3">
      <c r="B7" s="2" t="s">
        <v>22</v>
      </c>
    </row>
    <row r="8" spans="2:22" x14ac:dyDescent="0.3">
      <c r="B8" t="s">
        <v>23</v>
      </c>
    </row>
    <row r="9" spans="2:22" x14ac:dyDescent="0.3">
      <c r="B9" t="s">
        <v>24</v>
      </c>
    </row>
    <row r="10" spans="2:22" x14ac:dyDescent="0.3">
      <c r="B10" t="s">
        <v>29</v>
      </c>
    </row>
    <row r="11" spans="2:22" x14ac:dyDescent="0.3">
      <c r="B11" t="s">
        <v>30</v>
      </c>
    </row>
    <row r="13" spans="2:22" x14ac:dyDescent="0.3">
      <c r="B13" t="s">
        <v>33</v>
      </c>
    </row>
    <row r="14" spans="2:22" x14ac:dyDescent="0.3">
      <c r="B14" t="s">
        <v>25</v>
      </c>
    </row>
    <row r="16" spans="2:22" x14ac:dyDescent="0.3">
      <c r="B16" s="2" t="s">
        <v>26</v>
      </c>
    </row>
    <row r="17" spans="2:2" x14ac:dyDescent="0.3">
      <c r="B17" t="s">
        <v>31</v>
      </c>
    </row>
    <row r="18" spans="2:2" x14ac:dyDescent="0.3">
      <c r="B18" t="s">
        <v>32</v>
      </c>
    </row>
    <row r="19" spans="2:2" x14ac:dyDescent="0.3">
      <c r="B19" t="s">
        <v>27</v>
      </c>
    </row>
    <row r="20" spans="2:2" x14ac:dyDescent="0.3">
      <c r="B20" t="s">
        <v>28</v>
      </c>
    </row>
    <row r="22" spans="2:2" x14ac:dyDescent="0.3">
      <c r="B22" s="2" t="s">
        <v>13</v>
      </c>
    </row>
    <row r="23" spans="2:2" x14ac:dyDescent="0.3">
      <c r="B23" t="s">
        <v>14</v>
      </c>
    </row>
    <row r="24" spans="2:2" x14ac:dyDescent="0.3">
      <c r="B24" t="s">
        <v>34</v>
      </c>
    </row>
    <row r="25" spans="2:2" x14ac:dyDescent="0.3">
      <c r="B25" s="3" t="s">
        <v>10</v>
      </c>
    </row>
    <row r="27" spans="2:2" x14ac:dyDescent="0.3">
      <c r="B27" s="2" t="s">
        <v>15</v>
      </c>
    </row>
    <row r="28" spans="2:2" x14ac:dyDescent="0.3">
      <c r="B28" t="s">
        <v>16</v>
      </c>
    </row>
    <row r="29" spans="2:2" x14ac:dyDescent="0.3">
      <c r="B29" t="s">
        <v>17</v>
      </c>
    </row>
  </sheetData>
  <phoneticPr fontId="3" type="noConversion"/>
  <hyperlinks>
    <hyperlink ref="B25" r:id="rId1" display="http://spreadsheetpage.com/"/>
  </hyperlinks>
  <pageMargins left="0.75" right="0.75" top="1" bottom="1" header="0.5" footer="0.5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ReturnButton">
              <controlPr defaultSize="0" print="0" autoFill="0" autoPict="0" macro="[0]!ReturnButton_Click">
                <anchor>
                  <from>
                    <xdr:col>0</xdr:col>
                    <xdr:colOff>83820</xdr:colOff>
                    <xdr:row>0</xdr:row>
                    <xdr:rowOff>68580</xdr:rowOff>
                  </from>
                  <to>
                    <xdr:col>1</xdr:col>
                    <xdr:colOff>708660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2009-09-08T18:31:09Z</outs:dateTime>
      <outs:isPinned>true</outs:isPinned>
    </outs:relatedDate>
    <outs:relatedDate>
      <outs:type>2</outs:type>
      <outs:displayName>Created</outs:displayName>
      <outs:dateTime>1999-03-24T23:40:25Z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>
        <outs:relatedPerson>
          <outs:displayName>http://www.j-walk.com/ss/</outs:displayName>
          <outs:accountName/>
        </outs:relatedPerson>
      </outs:people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C2AEF9C1-0E5C-4CC2-BBA5-61FCBCB37023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11</vt:i4>
      </vt:variant>
    </vt:vector>
  </HeadingPairs>
  <TitlesOfParts>
    <vt:vector size="13" baseType="lpstr">
      <vt:lpstr>Chart</vt:lpstr>
      <vt:lpstr>Info</vt:lpstr>
      <vt:lpstr>a</vt:lpstr>
      <vt:lpstr>a_inc</vt:lpstr>
      <vt:lpstr>animate</vt:lpstr>
      <vt:lpstr>b</vt:lpstr>
      <vt:lpstr>b_inc</vt:lpstr>
      <vt:lpstr>Increments</vt:lpstr>
      <vt:lpstr>t</vt:lpstr>
      <vt:lpstr>t_inc</vt:lpstr>
      <vt:lpstr>x</vt:lpstr>
      <vt:lpstr>y</vt:lpstr>
      <vt:lpstr>Скорость</vt:lpstr>
    </vt:vector>
  </TitlesOfParts>
  <Manager>http://www.j-walk.com/ss/</Manager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hypocycloid - animated.xlsm</dc:title>
  <dc:subject>'Excel 2010 Power Programming With VBA' Example File</dc:subject>
  <dc:creator>John Walkenbach</dc:creator>
  <cp:keywords> </cp:keywords>
  <dc:description>©2010, John Walkenbach. All Rights Reserved.</dc:description>
  <cp:lastModifiedBy>Владислав Гинзбург</cp:lastModifiedBy>
  <dcterms:created xsi:type="dcterms:W3CDTF">1999-03-24T23:40:25Z</dcterms:created>
  <dcterms:modified xsi:type="dcterms:W3CDTF">2011-02-14T16:25:54Z</dcterms:modified>
  <cp:category>Excel 2010 Power Programming With VBA</cp:category>
</cp:coreProperties>
</file>